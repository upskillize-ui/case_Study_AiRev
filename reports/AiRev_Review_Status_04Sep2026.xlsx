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Da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<sst xmlns="http://schemas.openxmlformats.org/spreadsheetml/2006/main" count="80" uniqueCount="71">
  <si>
    <t xml:space="preserve">AiRev review status — 30 Days 30 AI Tools</t>
  </si>
  <si>
    <t xml:space="preserve">Snapshot 04 Sep 2026, 18:53 IST · ~1,500 learners · 22 assignments</t>
  </si>
  <si>
    <t xml:space="preserve">Metric</t>
  </si>
  <si>
    <t xml:space="preserve">Value</t>
  </si>
  <si>
    <t xml:space="preserve">What it means</t>
  </si>
  <si>
    <t xml:space="preserve">Submissions received</t>
  </si>
  <si>
    <t xml:space="preserve">Every assignment submission on the course.</t>
  </si>
  <si>
    <t xml:space="preserve">Marked</t>
  </si>
  <si>
    <t xml:space="preserve">Reviewed by AiRev (or a mentor) and carrying a mark out of 10.</t>
  </si>
  <si>
    <t xml:space="preserve">Marked %</t>
  </si>
  <si>
    <t xml:space="preserve">Share of submissions with a final mark.</t>
  </si>
  <si>
    <t xml:space="preserve">Average mark (/10, marked rows)</t>
  </si>
  <si>
    <t xml:space="preserve">Weighted by the number of marked rows per assignment.</t>
  </si>
  <si>
    <t xml:space="preserve">Zero marks</t>
  </si>
  <si>
    <t xml:space="preserve">Read in full and found not to meet the brief, or irrelevant work. Each carries the reasons on the student's card.</t>
  </si>
  <si>
    <t xml:space="preserve">Zero % of marked</t>
  </si>
  <si>
    <t xml:space="preserve">Waiting on the student</t>
  </si>
  <si>
    <t xml:space="preserve">Private or dead link, unreadable file, nothing attached, or different work from the brief. Student told exactly what to fix; can be set to 0-with-reason by admin.</t>
  </si>
  <si>
    <t xml:space="preserve">Site blocked our reader (our side)</t>
  </si>
  <si>
    <t xml:space="preserve">Link opened for a person but the site (claude.ai, Notion/Cloudflare, gamma.app) refused our automatic reader. Sent back with no mark — never zeroed. Student adds a screenshot/PDF.</t>
  </si>
  <si>
    <t xml:space="preserve">Our side — re-run needed</t>
  </si>
  <si>
    <t xml:space="preserve">Review could not be completed by our reader under the rules in force at the time; the student sees 'our side, not yours'. Re-run by us after tonight's fix; no student action.</t>
  </si>
  <si>
    <t xml:space="preserve">Still in the grading queue</t>
  </si>
  <si>
    <t xml:space="preserve">Being processed by the batch at snapshot time (Gamma decks were mid-run).</t>
  </si>
  <si>
    <t xml:space="preserve">Not yet marked %</t>
  </si>
  <si>
    <t xml:space="preserve">Where the unmarked work sits</t>
  </si>
  <si>
    <t xml:space="preserve">Assignment</t>
  </si>
  <si>
    <t xml:space="preserve">Unmarked</t>
  </si>
  <si>
    <t xml:space="preserve">Largest reason</t>
  </si>
  <si>
    <t xml:space="preserve">Day 02 - Claude:  Artfiact Creation and Publishing</t>
  </si>
  <si>
    <t xml:space="preserve">Site blocked our reader (108) — claude.ai refuses automatic readers; students add a screenshot</t>
  </si>
  <si>
    <t xml:space="preserve">Day 09 : Gamma</t>
  </si>
  <si>
    <t xml:space="preserve">Still in queue (107) — decks re-offered after the format rule change (PDF/PPTX of the deck now scored on content, minus 2); batch running at snapshot</t>
  </si>
  <si>
    <t xml:space="preserve">Day 08: Lovable</t>
  </si>
  <si>
    <t xml:space="preserve">Our side, re-run needed (65) — live apps our reader could not finish; re-run by us tonight</t>
  </si>
  <si>
    <t xml:space="preserve">Day 07 : Gemini Canvas</t>
  </si>
  <si>
    <t xml:space="preserve">Student must fix (32) — Google share links that open a sign-in page</t>
  </si>
  <si>
    <t xml:space="preserve">Day 05: Gemini Notebook : Create Studio Output</t>
  </si>
  <si>
    <t xml:space="preserve">Student must fix (20) — NotebookLM links land on Google sign-in</t>
  </si>
  <si>
    <t xml:space="preserve">Definitions</t>
  </si>
  <si>
    <t xml:space="preserve">Marks are out of 10. A zero is a mark: the work was read and scored against the assignment's own requirements, with reasons on the card. Work submitted in the wrong format (a PDF or PPTX of a deck instead of the tool's link) is scored on its content with a fixed 2-mark deduction, never a zero.</t>
  </si>
  <si>
    <t xml:space="preserve">"Waiting on the student" rows are not counted as marked. Policy: a private/dead link, an unreadable file, nothing attached, or different work from the brief is the student's to fix; admin can record 0 with the reason.</t>
  </si>
  <si>
    <t xml:space="preserve">"Site blocked our reader" and "Our side" are our limitations, never the student's; those rows carry no mark. Site-blocked rows ask the student for a screenshot or PDF; our-side rows are re-run by us.</t>
  </si>
  <si>
    <t xml:space="preserve">Numbers come from the LMS database at the snapshot time; re-running the query later gives higher marked counts as the queue drains. Earlier snapshot today: 13:21 IST (4,153 submitted / 3,268 marked).</t>
  </si>
  <si>
    <t xml:space="preserve">Submitted</t>
  </si>
  <si>
    <t xml:space="preserve">Graded</t>
  </si>
  <si>
    <t xml:space="preserve">Graded %</t>
  </si>
  <si>
    <t xml:space="preserve">Zero % of graded</t>
  </si>
  <si>
    <t xml:space="preserve">Avg mark (/10)</t>
  </si>
  <si>
    <t xml:space="preserve">Site blocked our reader</t>
  </si>
  <si>
    <t xml:space="preserve">Student must fix</t>
  </si>
  <si>
    <t xml:space="preserve">Still in queue</t>
  </si>
  <si>
    <t xml:space="preserve">Day 01:ChatGpt Assignment - Yourself in 5 years</t>
  </si>
  <si>
    <t xml:space="preserve">Day 01: ChatGpt AI Agent Assignment</t>
  </si>
  <si>
    <t xml:space="preserve">Day 03: Perplexity and Grok — AI Transformation in India</t>
  </si>
  <si>
    <t xml:space="preserve">Day 03: Perplexity and Grok — India's Fintech Market</t>
  </si>
  <si>
    <t xml:space="preserve">Day 04: Notion : Create a 30 Days 30 AI Tools Portfolio Page</t>
  </si>
  <si>
    <t xml:space="preserve">Day 06: Suno : Create a song</t>
  </si>
  <si>
    <t xml:space="preserve">Day 10: Nano Banana</t>
  </si>
  <si>
    <t xml:space="preserve">Day 11: Yoodli</t>
  </si>
  <si>
    <t xml:space="preserve">Day 12 : Replit-Agent</t>
  </si>
  <si>
    <t xml:space="preserve">Day 13: Canva</t>
  </si>
  <si>
    <t xml:space="preserve">Day-14 Figma</t>
  </si>
  <si>
    <t xml:space="preserve">Day 15: ElevenLabs Assignment</t>
  </si>
  <si>
    <t xml:space="preserve">Day 16: Google Flow</t>
  </si>
  <si>
    <t xml:space="preserve">Day-17 : HeyGen &amp; Google Flow Part-II</t>
  </si>
  <si>
    <t xml:space="preserve">Day 18 : Analysing Balance sheet using AI</t>
  </si>
  <si>
    <t xml:space="preserve">Day 19: Perplexity Finance</t>
  </si>
  <si>
    <t xml:space="preserve">Assignment — LinkedIn Halfway Milestone</t>
  </si>
  <si>
    <t xml:space="preserve">Course total (30 Days 30 AI Tools)</t>
  </si>
  <si>
    <t xml:space="preserve">Source: assignment_submissions × assignments, course_id 55, snapshot 04 Sep 2026, 18:53 IST. Avg mark is the mean of graded rows only; course-total avg is weighted by graded count. Every submission sits in exactly one of: graded, site blocked, student must fix, our side, still in queue.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</si>
</sst>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628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1"/>
      <color rgb="FF0B162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628"/>
        <bgColor rgb="FF000000"/>
      </patternFill>
    </fill>
    <fill>
      <patternFill patternType="solid">
        <fgColor rgb="FFF3F4F6"/>
        <bgColor rgb="FFFFFFFF"/>
      </patternFill>
    </fill>
    <fill>
      <patternFill patternType="solid">
        <fgColor rgb="FFC8992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92A"/>
      <rgbColor rgb="FFFF6600"/>
      <rgbColor rgb="FF6B7280"/>
      <rgbColor rgb="FF969696"/>
      <rgbColor rgb="FF003366"/>
      <rgbColor rgb="FF339966"/>
      <rgbColor rgb="FF0B1628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f aca="false">'By Day'!B24</f>
        <v>4182</v>
      </c>
      <c r="C4" s="6" t="s">
        <v>6</v>
      </c>
    </row>
    <row r="5" customFormat="false" ht="15" hidden="false" customHeight="false" outlineLevel="0" collapsed="false">
      <c r="A5" s="7" t="s">
        <v>7</v>
      </c>
      <c r="B5" s="8" t="n">
        <f aca="false">'By Day'!C24</f>
        <v>3474</v>
      </c>
      <c r="C5" s="9" t="s">
        <v>8</v>
      </c>
    </row>
    <row r="6" customFormat="false" ht="15" hidden="false" customHeight="false" outlineLevel="0" collapsed="false">
      <c r="A6" s="4" t="s">
        <v>9</v>
      </c>
      <c r="B6" s="10" t="n">
        <f aca="false">IF(B4=0,0,B5/B4)</f>
        <v>0.830703012912482</v>
      </c>
      <c r="C6" s="6" t="s">
        <v>10</v>
      </c>
    </row>
    <row r="7" customFormat="false" ht="15" hidden="false" customHeight="false" outlineLevel="0" collapsed="false">
      <c r="A7" s="7" t="s">
        <v>11</v>
      </c>
      <c r="B7" s="11" t="n">
        <f aca="false">'By Day'!G24</f>
        <v>2.83752446747265</v>
      </c>
      <c r="C7" s="9" t="s">
        <v>12</v>
      </c>
    </row>
    <row r="8" customFormat="false" ht="22.35" hidden="false" customHeight="false" outlineLevel="0" collapsed="false">
      <c r="A8" s="4" t="s">
        <v>13</v>
      </c>
      <c r="B8" s="5" t="n">
        <f aca="false">'By Day'!E24</f>
        <v>1007</v>
      </c>
      <c r="C8" s="6" t="s">
        <v>14</v>
      </c>
    </row>
    <row r="9" customFormat="false" ht="15" hidden="false" customHeight="false" outlineLevel="0" collapsed="false">
      <c r="A9" s="7" t="s">
        <v>15</v>
      </c>
      <c r="B9" s="12" t="n">
        <f aca="false">IF(B5=0,0,B8/B5)</f>
        <v>0.289867587795049</v>
      </c>
      <c r="C9" s="9"/>
    </row>
    <row r="10" customFormat="false" ht="22.35" hidden="false" customHeight="false" outlineLevel="0" collapsed="false">
      <c r="A10" s="4" t="s">
        <v>16</v>
      </c>
      <c r="B10" s="5" t="n">
        <f aca="false">'By Day'!I24</f>
        <v>222</v>
      </c>
      <c r="C10" s="6" t="s">
        <v>17</v>
      </c>
    </row>
    <row r="11" customFormat="false" ht="32.8" hidden="false" customHeight="false" outlineLevel="0" collapsed="false">
      <c r="A11" s="7" t="s">
        <v>18</v>
      </c>
      <c r="B11" s="8" t="n">
        <f aca="false">'By Day'!H24</f>
        <v>174</v>
      </c>
      <c r="C11" s="9" t="s">
        <v>19</v>
      </c>
    </row>
    <row r="12" customFormat="false" ht="22.35" hidden="false" customHeight="false" outlineLevel="0" collapsed="false">
      <c r="A12" s="4" t="s">
        <v>20</v>
      </c>
      <c r="B12" s="5" t="n">
        <f aca="false">'By Day'!J24</f>
        <v>111</v>
      </c>
      <c r="C12" s="6" t="s">
        <v>21</v>
      </c>
    </row>
    <row r="13" customFormat="false" ht="15" hidden="false" customHeight="false" outlineLevel="0" collapsed="false">
      <c r="A13" s="7" t="s">
        <v>22</v>
      </c>
      <c r="B13" s="8" t="n">
        <f aca="false">'By Day'!K24</f>
        <v>201</v>
      </c>
      <c r="C13" s="9" t="s">
        <v>23</v>
      </c>
    </row>
    <row r="14" customFormat="false" ht="15" hidden="false" customHeight="false" outlineLevel="0" collapsed="false">
      <c r="A14" s="4" t="s">
        <v>24</v>
      </c>
      <c r="B14" s="10" t="n">
        <f aca="false">IF(B4=0,0,(B10+B11+B12+B13)/B4)</f>
        <v>0.169296987087518</v>
      </c>
      <c r="C14" s="6"/>
    </row>
    <row r="16" customFormat="false" ht="15" hidden="false" customHeight="false" outlineLevel="0" collapsed="false">
      <c r="A16" s="13" t="s">
        <v>25</v>
      </c>
    </row>
    <row r="17" customFormat="false" ht="15" hidden="false" customHeight="false" outlineLevel="0" collapsed="false">
      <c r="A17" s="3" t="s">
        <v>26</v>
      </c>
      <c r="B17" s="3" t="s">
        <v>27</v>
      </c>
      <c r="C17" s="3" t="s">
        <v>28</v>
      </c>
    </row>
    <row r="18" customFormat="false" ht="22.35" hidden="false" customHeight="false" outlineLevel="0" collapsed="false">
      <c r="A18" s="14" t="s">
        <v>29</v>
      </c>
      <c r="B18" s="14" t="n">
        <f aca="false">'By Day'!H4+'By Day'!I4+'By Day'!J4+'By Day'!K4</f>
        <v>178</v>
      </c>
      <c r="C18" s="9" t="s">
        <v>30</v>
      </c>
    </row>
    <row r="19" customFormat="false" ht="22.35" hidden="false" customHeight="false" outlineLevel="0" collapsed="false">
      <c r="A19" s="14" t="s">
        <v>31</v>
      </c>
      <c r="B19" s="14" t="n">
        <f aca="false">'By Day'!H12+'By Day'!I12+'By Day'!J12+'By Day'!K12</f>
        <v>173</v>
      </c>
      <c r="C19" s="9" t="s">
        <v>32</v>
      </c>
    </row>
    <row r="20" customFormat="false" ht="22.35" hidden="false" customHeight="false" outlineLevel="0" collapsed="false">
      <c r="A20" s="14" t="s">
        <v>33</v>
      </c>
      <c r="B20" s="14" t="n">
        <f aca="false">'By Day'!H11+'By Day'!I11+'By Day'!J11+'By Day'!K11</f>
        <v>82</v>
      </c>
      <c r="C20" s="9" t="s">
        <v>34</v>
      </c>
    </row>
    <row r="21" customFormat="false" ht="15" hidden="false" customHeight="false" outlineLevel="0" collapsed="false">
      <c r="A21" s="14" t="s">
        <v>35</v>
      </c>
      <c r="B21" s="14" t="n">
        <f aca="false">'By Day'!H10+'By Day'!I10+'By Day'!J10+'By Day'!K10</f>
        <v>48</v>
      </c>
      <c r="C21" s="9" t="s">
        <v>36</v>
      </c>
    </row>
    <row r="22" customFormat="false" ht="15" hidden="false" customHeight="false" outlineLevel="0" collapsed="false">
      <c r="A22" s="14" t="s">
        <v>37</v>
      </c>
      <c r="B22" s="14" t="n">
        <f aca="false">'By Day'!H8+'By Day'!I8+'By Day'!J8+'By Day'!K8</f>
        <v>29</v>
      </c>
      <c r="C22" s="9" t="s">
        <v>38</v>
      </c>
    </row>
    <row r="24" customFormat="false" ht="15" hidden="false" customHeight="false" outlineLevel="0" collapsed="false">
      <c r="A24" s="13" t="s">
        <v>39</v>
      </c>
    </row>
    <row r="25" customFormat="false" ht="33.75" hidden="false" customHeight="true" outlineLevel="0" collapsed="false">
      <c r="A25" s="15" t="s">
        <v>40</v>
      </c>
      <c r="B25" s="15"/>
      <c r="C25" s="15"/>
    </row>
    <row r="26" customFormat="false" ht="33.75" hidden="false" customHeight="true" outlineLevel="0" collapsed="false">
      <c r="A26" s="15" t="s">
        <v>41</v>
      </c>
      <c r="B26" s="15"/>
      <c r="C26" s="15"/>
    </row>
    <row r="27" customFormat="false" ht="33.75" hidden="false" customHeight="true" outlineLevel="0" collapsed="false">
      <c r="A27" s="15" t="s">
        <v>42</v>
      </c>
      <c r="B27" s="15"/>
      <c r="C27" s="15"/>
    </row>
    <row r="28" customFormat="false" ht="33.75" hidden="false" customHeight="true" outlineLevel="0" collapsed="false">
      <c r="A28" s="15" t="s">
        <v>43</v>
      </c>
      <c r="B28" s="15"/>
      <c r="C28" s="15"/>
    </row>
  </sheetData>
  <mergeCells count="4"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33.75" hidden="false" customHeight="true" outlineLevel="0" collapsed="false">
      <c r="A1" s="16" t="s">
        <v>26</v>
      </c>
      <c r="B1" s="16" t="s">
        <v>44</v>
      </c>
      <c r="C1" s="16" t="s">
        <v>45</v>
      </c>
      <c r="D1" s="16" t="s">
        <v>46</v>
      </c>
      <c r="E1" s="16" t="s">
        <v>13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20</v>
      </c>
      <c r="K1" s="16" t="s">
        <v>51</v>
      </c>
      <c r="L1" s="16" t="s">
        <v>24</v>
      </c>
    </row>
    <row r="2" customFormat="false" ht="15" hidden="false" customHeight="false" outlineLevel="0" collapsed="false">
      <c r="A2" s="17" t="s">
        <v>52</v>
      </c>
      <c r="B2" s="17" t="n">
        <v>465</v>
      </c>
      <c r="C2" s="17" t="n">
        <v>427</v>
      </c>
      <c r="D2" s="18" t="n">
        <f aca="false">IF(B2=0,0,C2/B2)</f>
        <v>0.918279569892473</v>
      </c>
      <c r="E2" s="17" t="n">
        <v>57</v>
      </c>
      <c r="F2" s="18" t="n">
        <f aca="false">IF(C2=0,0,E2/C2)</f>
        <v>0.133489461358314</v>
      </c>
      <c r="G2" s="19" t="n">
        <v>4.61</v>
      </c>
      <c r="H2" s="17" t="n">
        <v>15</v>
      </c>
      <c r="I2" s="17" t="n">
        <v>5</v>
      </c>
      <c r="J2" s="17" t="n">
        <v>18</v>
      </c>
      <c r="K2" s="17" t="n">
        <v>0</v>
      </c>
      <c r="L2" s="18" t="n">
        <f aca="false">IF(B2=0,0,(H2+I2+J2+K2)/B2)</f>
        <v>0.0817204301075269</v>
      </c>
    </row>
    <row r="3" customFormat="false" ht="15" hidden="false" customHeight="false" outlineLevel="0" collapsed="false">
      <c r="A3" s="20" t="s">
        <v>53</v>
      </c>
      <c r="B3" s="20" t="n">
        <v>49</v>
      </c>
      <c r="C3" s="20" t="n">
        <v>48</v>
      </c>
      <c r="D3" s="21" t="n">
        <f aca="false">IF(B3=0,0,C3/B3)</f>
        <v>0.979591836734694</v>
      </c>
      <c r="E3" s="20" t="n">
        <v>33</v>
      </c>
      <c r="F3" s="21" t="n">
        <f aca="false">IF(C3=0,0,E3/C3)</f>
        <v>0.6875</v>
      </c>
      <c r="G3" s="22" t="n">
        <v>0.35</v>
      </c>
      <c r="H3" s="20" t="n">
        <v>0</v>
      </c>
      <c r="I3" s="20" t="n">
        <v>0</v>
      </c>
      <c r="J3" s="20" t="n">
        <v>0</v>
      </c>
      <c r="K3" s="20" t="n">
        <v>1</v>
      </c>
      <c r="L3" s="21" t="n">
        <f aca="false">IF(B3=0,0,(H3+I3+J3+K3)/B3)</f>
        <v>0.0204081632653061</v>
      </c>
    </row>
    <row r="4" customFormat="false" ht="15" hidden="false" customHeight="false" outlineLevel="0" collapsed="false">
      <c r="A4" s="17" t="s">
        <v>29</v>
      </c>
      <c r="B4" s="17" t="n">
        <v>396</v>
      </c>
      <c r="C4" s="17" t="n">
        <v>218</v>
      </c>
      <c r="D4" s="18" t="n">
        <f aca="false">IF(B4=0,0,C4/B4)</f>
        <v>0.550505050505051</v>
      </c>
      <c r="E4" s="17" t="n">
        <v>99</v>
      </c>
      <c r="F4" s="18" t="n">
        <f aca="false">IF(C4=0,0,E4/C4)</f>
        <v>0.454128440366973</v>
      </c>
      <c r="G4" s="19" t="n">
        <v>1.05</v>
      </c>
      <c r="H4" s="17" t="n">
        <v>108</v>
      </c>
      <c r="I4" s="17" t="n">
        <v>63</v>
      </c>
      <c r="J4" s="17" t="n">
        <v>4</v>
      </c>
      <c r="K4" s="17" t="n">
        <v>3</v>
      </c>
      <c r="L4" s="18" t="n">
        <f aca="false">IF(B4=0,0,(H4+I4+J4+K4)/B4)</f>
        <v>0.44949494949495</v>
      </c>
    </row>
    <row r="5" customFormat="false" ht="15" hidden="false" customHeight="false" outlineLevel="0" collapsed="false">
      <c r="A5" s="20" t="s">
        <v>54</v>
      </c>
      <c r="B5" s="20" t="n">
        <v>339</v>
      </c>
      <c r="C5" s="20" t="n">
        <v>314</v>
      </c>
      <c r="D5" s="21" t="n">
        <f aca="false">IF(B5=0,0,C5/B5)</f>
        <v>0.926253687315634</v>
      </c>
      <c r="E5" s="20" t="n">
        <v>84</v>
      </c>
      <c r="F5" s="21" t="n">
        <f aca="false">IF(C5=0,0,E5/C5)</f>
        <v>0.267515923566879</v>
      </c>
      <c r="G5" s="22" t="n">
        <v>2.8</v>
      </c>
      <c r="H5" s="20" t="n">
        <v>3</v>
      </c>
      <c r="I5" s="20" t="n">
        <v>18</v>
      </c>
      <c r="J5" s="20" t="n">
        <v>2</v>
      </c>
      <c r="K5" s="20" t="n">
        <v>2</v>
      </c>
      <c r="L5" s="21" t="n">
        <f aca="false">IF(B5=0,0,(H5+I5+J5+K5)/B5)</f>
        <v>0.0737463126843658</v>
      </c>
    </row>
    <row r="6" customFormat="false" ht="15" hidden="false" customHeight="false" outlineLevel="0" collapsed="false">
      <c r="A6" s="17" t="s">
        <v>55</v>
      </c>
      <c r="B6" s="17" t="n">
        <v>359</v>
      </c>
      <c r="C6" s="17" t="n">
        <v>339</v>
      </c>
      <c r="D6" s="18" t="n">
        <f aca="false">IF(B6=0,0,C6/B6)</f>
        <v>0.944289693593315</v>
      </c>
      <c r="E6" s="17" t="n">
        <v>41</v>
      </c>
      <c r="F6" s="18" t="n">
        <f aca="false">IF(C6=0,0,E6/C6)</f>
        <v>0.12094395280236</v>
      </c>
      <c r="G6" s="19" t="n">
        <v>3.82</v>
      </c>
      <c r="H6" s="17" t="n">
        <v>4</v>
      </c>
      <c r="I6" s="17" t="n">
        <v>12</v>
      </c>
      <c r="J6" s="17" t="n">
        <v>2</v>
      </c>
      <c r="K6" s="17" t="n">
        <v>2</v>
      </c>
      <c r="L6" s="18" t="n">
        <f aca="false">IF(B6=0,0,(H6+I6+J6+K6)/B6)</f>
        <v>0.0557103064066852</v>
      </c>
    </row>
    <row r="7" customFormat="false" ht="15" hidden="false" customHeight="false" outlineLevel="0" collapsed="false">
      <c r="A7" s="20" t="s">
        <v>56</v>
      </c>
      <c r="B7" s="20" t="n">
        <v>263</v>
      </c>
      <c r="C7" s="20" t="n">
        <v>253</v>
      </c>
      <c r="D7" s="21" t="n">
        <f aca="false">IF(B7=0,0,C7/B7)</f>
        <v>0.961977186311787</v>
      </c>
      <c r="E7" s="20" t="n">
        <v>102</v>
      </c>
      <c r="F7" s="21" t="n">
        <f aca="false">IF(C7=0,0,E7/C7)</f>
        <v>0.403162055335968</v>
      </c>
      <c r="G7" s="22" t="n">
        <v>1.79</v>
      </c>
      <c r="H7" s="20" t="n">
        <v>6</v>
      </c>
      <c r="I7" s="20" t="n">
        <v>1</v>
      </c>
      <c r="J7" s="20" t="n">
        <v>3</v>
      </c>
      <c r="K7" s="20" t="n">
        <v>0</v>
      </c>
      <c r="L7" s="21" t="n">
        <f aca="false">IF(B7=0,0,(H7+I7+J7+K7)/B7)</f>
        <v>0.0380228136882129</v>
      </c>
    </row>
    <row r="8" customFormat="false" ht="15" hidden="false" customHeight="false" outlineLevel="0" collapsed="false">
      <c r="A8" s="17" t="s">
        <v>37</v>
      </c>
      <c r="B8" s="17" t="n">
        <v>249</v>
      </c>
      <c r="C8" s="17" t="n">
        <v>220</v>
      </c>
      <c r="D8" s="18" t="n">
        <f aca="false">IF(B8=0,0,C8/B8)</f>
        <v>0.883534136546185</v>
      </c>
      <c r="E8" s="17" t="n">
        <v>70</v>
      </c>
      <c r="F8" s="18" t="n">
        <f aca="false">IF(C8=0,0,E8/C8)</f>
        <v>0.318181818181818</v>
      </c>
      <c r="G8" s="19" t="n">
        <v>1.01</v>
      </c>
      <c r="H8" s="17" t="n">
        <v>1</v>
      </c>
      <c r="I8" s="17" t="n">
        <v>20</v>
      </c>
      <c r="J8" s="17" t="n">
        <v>0</v>
      </c>
      <c r="K8" s="17" t="n">
        <v>8</v>
      </c>
      <c r="L8" s="18" t="n">
        <f aca="false">IF(B8=0,0,(H8+I8+J8+K8)/B8)</f>
        <v>0.116465863453815</v>
      </c>
    </row>
    <row r="9" customFormat="false" ht="15" hidden="false" customHeight="false" outlineLevel="0" collapsed="false">
      <c r="A9" s="20" t="s">
        <v>57</v>
      </c>
      <c r="B9" s="20" t="n">
        <v>248</v>
      </c>
      <c r="C9" s="20" t="n">
        <v>248</v>
      </c>
      <c r="D9" s="21" t="n">
        <f aca="false">IF(B9=0,0,C9/B9)</f>
        <v>1</v>
      </c>
      <c r="E9" s="20" t="n">
        <v>95</v>
      </c>
      <c r="F9" s="21" t="n">
        <f aca="false">IF(C9=0,0,E9/C9)</f>
        <v>0.383064516129032</v>
      </c>
      <c r="G9" s="22" t="n">
        <v>3.35</v>
      </c>
      <c r="H9" s="20" t="n">
        <v>0</v>
      </c>
      <c r="I9" s="20" t="n">
        <v>0</v>
      </c>
      <c r="J9" s="20" t="n">
        <v>0</v>
      </c>
      <c r="K9" s="20" t="n">
        <v>0</v>
      </c>
      <c r="L9" s="21" t="n">
        <f aca="false">IF(B9=0,0,(H9+I9+J9+K9)/B9)</f>
        <v>0</v>
      </c>
    </row>
    <row r="10" customFormat="false" ht="15" hidden="false" customHeight="false" outlineLevel="0" collapsed="false">
      <c r="A10" s="17" t="s">
        <v>35</v>
      </c>
      <c r="B10" s="17" t="n">
        <v>206</v>
      </c>
      <c r="C10" s="17" t="n">
        <v>158</v>
      </c>
      <c r="D10" s="18" t="n">
        <f aca="false">IF(B10=0,0,C10/B10)</f>
        <v>0.766990291262136</v>
      </c>
      <c r="E10" s="17" t="n">
        <v>110</v>
      </c>
      <c r="F10" s="18" t="n">
        <f aca="false">IF(C10=0,0,E10/C10)</f>
        <v>0.69620253164557</v>
      </c>
      <c r="G10" s="19" t="n">
        <v>1.07</v>
      </c>
      <c r="H10" s="17" t="n">
        <v>0</v>
      </c>
      <c r="I10" s="17" t="n">
        <v>32</v>
      </c>
      <c r="J10" s="17" t="n">
        <v>15</v>
      </c>
      <c r="K10" s="17" t="n">
        <v>1</v>
      </c>
      <c r="L10" s="18" t="n">
        <f aca="false">IF(B10=0,0,(H10+I10+J10+K10)/B10)</f>
        <v>0.233009708737864</v>
      </c>
    </row>
    <row r="11" customFormat="false" ht="15" hidden="false" customHeight="false" outlineLevel="0" collapsed="false">
      <c r="A11" s="20" t="s">
        <v>33</v>
      </c>
      <c r="B11" s="20" t="n">
        <v>188</v>
      </c>
      <c r="C11" s="20" t="n">
        <v>106</v>
      </c>
      <c r="D11" s="21" t="n">
        <f aca="false">IF(B11=0,0,C11/B11)</f>
        <v>0.563829787234043</v>
      </c>
      <c r="E11" s="20" t="n">
        <v>40</v>
      </c>
      <c r="F11" s="21" t="n">
        <f aca="false">IF(C11=0,0,E11/C11)</f>
        <v>0.377358490566038</v>
      </c>
      <c r="G11" s="22" t="n">
        <v>3.58</v>
      </c>
      <c r="H11" s="20" t="n">
        <v>5</v>
      </c>
      <c r="I11" s="20" t="n">
        <v>12</v>
      </c>
      <c r="J11" s="20" t="n">
        <v>65</v>
      </c>
      <c r="K11" s="20" t="n">
        <v>0</v>
      </c>
      <c r="L11" s="21" t="n">
        <f aca="false">IF(B11=0,0,(H11+I11+J11+K11)/B11)</f>
        <v>0.436170212765957</v>
      </c>
    </row>
    <row r="12" customFormat="false" ht="15" hidden="false" customHeight="false" outlineLevel="0" collapsed="false">
      <c r="A12" s="17" t="s">
        <v>31</v>
      </c>
      <c r="B12" s="17" t="n">
        <v>205</v>
      </c>
      <c r="C12" s="17" t="n">
        <v>32</v>
      </c>
      <c r="D12" s="18" t="n">
        <f aca="false">IF(B12=0,0,C12/B12)</f>
        <v>0.15609756097561</v>
      </c>
      <c r="E12" s="17" t="n">
        <v>21</v>
      </c>
      <c r="F12" s="18" t="n">
        <f aca="false">IF(C12=0,0,E12/C12)</f>
        <v>0.65625</v>
      </c>
      <c r="G12" s="19" t="n">
        <v>0.82</v>
      </c>
      <c r="H12" s="17" t="n">
        <v>30</v>
      </c>
      <c r="I12" s="17" t="n">
        <v>35</v>
      </c>
      <c r="J12" s="17" t="n">
        <v>1</v>
      </c>
      <c r="K12" s="17" t="n">
        <v>107</v>
      </c>
      <c r="L12" s="18" t="n">
        <f aca="false">IF(B12=0,0,(H12+I12+J12+K12)/B12)</f>
        <v>0.84390243902439</v>
      </c>
    </row>
    <row r="13" customFormat="false" ht="15" hidden="false" customHeight="false" outlineLevel="0" collapsed="false">
      <c r="A13" s="20" t="s">
        <v>58</v>
      </c>
      <c r="B13" s="20" t="n">
        <v>208</v>
      </c>
      <c r="C13" s="20" t="n">
        <v>188</v>
      </c>
      <c r="D13" s="21" t="n">
        <f aca="false">IF(B13=0,0,C13/B13)</f>
        <v>0.903846153846154</v>
      </c>
      <c r="E13" s="20" t="n">
        <v>51</v>
      </c>
      <c r="F13" s="21" t="n">
        <f aca="false">IF(C13=0,0,E13/C13)</f>
        <v>0.271276595744681</v>
      </c>
      <c r="G13" s="22" t="n">
        <v>2.94</v>
      </c>
      <c r="H13" s="20" t="n">
        <v>0</v>
      </c>
      <c r="I13" s="20" t="n">
        <v>0</v>
      </c>
      <c r="J13" s="20" t="n">
        <v>0</v>
      </c>
      <c r="K13" s="20" t="n">
        <v>20</v>
      </c>
      <c r="L13" s="21" t="n">
        <f aca="false">IF(B13=0,0,(H13+I13+J13+K13)/B13)</f>
        <v>0.0961538461538462</v>
      </c>
    </row>
    <row r="14" customFormat="false" ht="15" hidden="false" customHeight="false" outlineLevel="0" collapsed="false">
      <c r="A14" s="17" t="s">
        <v>59</v>
      </c>
      <c r="B14" s="17" t="n">
        <v>130</v>
      </c>
      <c r="C14" s="17" t="n">
        <v>125</v>
      </c>
      <c r="D14" s="18" t="n">
        <f aca="false">IF(B14=0,0,C14/B14)</f>
        <v>0.961538461538462</v>
      </c>
      <c r="E14" s="17" t="n">
        <v>49</v>
      </c>
      <c r="F14" s="18" t="n">
        <f aca="false">IF(C14=0,0,E14/C14)</f>
        <v>0.392</v>
      </c>
      <c r="G14" s="19" t="n">
        <v>2.66</v>
      </c>
      <c r="H14" s="17" t="n">
        <v>0</v>
      </c>
      <c r="I14" s="17" t="n">
        <v>0</v>
      </c>
      <c r="J14" s="17" t="n">
        <v>0</v>
      </c>
      <c r="K14" s="17" t="n">
        <v>5</v>
      </c>
      <c r="L14" s="18" t="n">
        <f aca="false">IF(B14=0,0,(H14+I14+J14+K14)/B14)</f>
        <v>0.0384615384615385</v>
      </c>
    </row>
    <row r="15" customFormat="false" ht="15" hidden="false" customHeight="false" outlineLevel="0" collapsed="false">
      <c r="A15" s="20" t="s">
        <v>60</v>
      </c>
      <c r="B15" s="20" t="n">
        <v>139</v>
      </c>
      <c r="C15" s="20" t="n">
        <v>129</v>
      </c>
      <c r="D15" s="21" t="n">
        <f aca="false">IF(B15=0,0,C15/B15)</f>
        <v>0.928057553956835</v>
      </c>
      <c r="E15" s="20" t="n">
        <v>21</v>
      </c>
      <c r="F15" s="21" t="n">
        <f aca="false">IF(C15=0,0,E15/C15)</f>
        <v>0.162790697674419</v>
      </c>
      <c r="G15" s="22" t="n">
        <v>3.11</v>
      </c>
      <c r="H15" s="20" t="n">
        <v>0</v>
      </c>
      <c r="I15" s="20" t="n">
        <v>7</v>
      </c>
      <c r="J15" s="20" t="n">
        <v>0</v>
      </c>
      <c r="K15" s="20" t="n">
        <v>3</v>
      </c>
      <c r="L15" s="21" t="n">
        <f aca="false">IF(B15=0,0,(H15+I15+J15+K15)/B15)</f>
        <v>0.0719424460431655</v>
      </c>
    </row>
    <row r="16" customFormat="false" ht="15" hidden="false" customHeight="false" outlineLevel="0" collapsed="false">
      <c r="A16" s="17" t="s">
        <v>61</v>
      </c>
      <c r="B16" s="17" t="n">
        <v>148</v>
      </c>
      <c r="C16" s="17" t="n">
        <v>136</v>
      </c>
      <c r="D16" s="18" t="n">
        <f aca="false">IF(B16=0,0,C16/B16)</f>
        <v>0.918918918918919</v>
      </c>
      <c r="E16" s="17" t="n">
        <v>28</v>
      </c>
      <c r="F16" s="18" t="n">
        <f aca="false">IF(C16=0,0,E16/C16)</f>
        <v>0.205882352941176</v>
      </c>
      <c r="G16" s="19" t="n">
        <v>3.01</v>
      </c>
      <c r="H16" s="17" t="n">
        <v>2</v>
      </c>
      <c r="I16" s="17" t="n">
        <v>4</v>
      </c>
      <c r="J16" s="17" t="n">
        <v>0</v>
      </c>
      <c r="K16" s="17" t="n">
        <v>6</v>
      </c>
      <c r="L16" s="18" t="n">
        <f aca="false">IF(B16=0,0,(H16+I16+J16+K16)/B16)</f>
        <v>0.0810810810810811</v>
      </c>
    </row>
    <row r="17" customFormat="false" ht="15" hidden="false" customHeight="false" outlineLevel="0" collapsed="false">
      <c r="A17" s="20" t="s">
        <v>62</v>
      </c>
      <c r="B17" s="20" t="n">
        <v>98</v>
      </c>
      <c r="C17" s="20" t="n">
        <v>84</v>
      </c>
      <c r="D17" s="21" t="n">
        <f aca="false">IF(B17=0,0,C17/B17)</f>
        <v>0.857142857142857</v>
      </c>
      <c r="E17" s="20" t="n">
        <v>16</v>
      </c>
      <c r="F17" s="21" t="n">
        <f aca="false">IF(C17=0,0,E17/C17)</f>
        <v>0.19047619047619</v>
      </c>
      <c r="G17" s="22" t="n">
        <v>3.92</v>
      </c>
      <c r="H17" s="20" t="n">
        <v>0</v>
      </c>
      <c r="I17" s="20" t="n">
        <v>5</v>
      </c>
      <c r="J17" s="20" t="n">
        <v>0</v>
      </c>
      <c r="K17" s="20" t="n">
        <v>9</v>
      </c>
      <c r="L17" s="21" t="n">
        <f aca="false">IF(B17=0,0,(H17+I17+J17+K17)/B17)</f>
        <v>0.142857142857143</v>
      </c>
    </row>
    <row r="18" customFormat="false" ht="15" hidden="false" customHeight="false" outlineLevel="0" collapsed="false">
      <c r="A18" s="17" t="s">
        <v>63</v>
      </c>
      <c r="B18" s="17" t="n">
        <v>106</v>
      </c>
      <c r="C18" s="17" t="n">
        <v>95</v>
      </c>
      <c r="D18" s="18" t="n">
        <f aca="false">IF(B18=0,0,C18/B18)</f>
        <v>0.89622641509434</v>
      </c>
      <c r="E18" s="17" t="n">
        <v>26</v>
      </c>
      <c r="F18" s="18" t="n">
        <f aca="false">IF(C18=0,0,E18/C18)</f>
        <v>0.273684210526316</v>
      </c>
      <c r="G18" s="19" t="n">
        <v>2.17</v>
      </c>
      <c r="H18" s="17" t="n">
        <v>0</v>
      </c>
      <c r="I18" s="17" t="n">
        <v>3</v>
      </c>
      <c r="J18" s="17" t="n">
        <v>0</v>
      </c>
      <c r="K18" s="17" t="n">
        <v>8</v>
      </c>
      <c r="L18" s="18" t="n">
        <f aca="false">IF(B18=0,0,(H18+I18+J18+K18)/B18)</f>
        <v>0.10377358490566</v>
      </c>
    </row>
    <row r="19" customFormat="false" ht="15" hidden="false" customHeight="false" outlineLevel="0" collapsed="false">
      <c r="A19" s="20" t="s">
        <v>64</v>
      </c>
      <c r="B19" s="20" t="n">
        <v>88</v>
      </c>
      <c r="C19" s="20" t="n">
        <v>84</v>
      </c>
      <c r="D19" s="21" t="n">
        <f aca="false">IF(B19=0,0,C19/B19)</f>
        <v>0.954545454545455</v>
      </c>
      <c r="E19" s="20" t="n">
        <v>18</v>
      </c>
      <c r="F19" s="21" t="n">
        <f aca="false">IF(C19=0,0,E19/C19)</f>
        <v>0.214285714285714</v>
      </c>
      <c r="G19" s="22" t="n">
        <v>2.37</v>
      </c>
      <c r="H19" s="20" t="n">
        <v>0</v>
      </c>
      <c r="I19" s="20" t="n">
        <v>0</v>
      </c>
      <c r="J19" s="20" t="n">
        <v>1</v>
      </c>
      <c r="K19" s="20" t="n">
        <v>3</v>
      </c>
      <c r="L19" s="21" t="n">
        <f aca="false">IF(B19=0,0,(H19+I19+J19+K19)/B19)</f>
        <v>0.0454545454545455</v>
      </c>
    </row>
    <row r="20" customFormat="false" ht="15" hidden="false" customHeight="false" outlineLevel="0" collapsed="false">
      <c r="A20" s="17" t="s">
        <v>65</v>
      </c>
      <c r="B20" s="17" t="n">
        <v>68</v>
      </c>
      <c r="C20" s="17" t="n">
        <v>59</v>
      </c>
      <c r="D20" s="18" t="n">
        <f aca="false">IF(B20=0,0,C20/B20)</f>
        <v>0.867647058823529</v>
      </c>
      <c r="E20" s="17" t="n">
        <v>12</v>
      </c>
      <c r="F20" s="18" t="n">
        <f aca="false">IF(C20=0,0,E20/C20)</f>
        <v>0.203389830508475</v>
      </c>
      <c r="G20" s="19" t="n">
        <v>2.55</v>
      </c>
      <c r="H20" s="17" t="n">
        <v>0</v>
      </c>
      <c r="I20" s="17" t="n">
        <v>0</v>
      </c>
      <c r="J20" s="17" t="n">
        <v>0</v>
      </c>
      <c r="K20" s="17" t="n">
        <v>9</v>
      </c>
      <c r="L20" s="18" t="n">
        <f aca="false">IF(B20=0,0,(H20+I20+J20+K20)/B20)</f>
        <v>0.132352941176471</v>
      </c>
    </row>
    <row r="21" customFormat="false" ht="15" hidden="false" customHeight="false" outlineLevel="0" collapsed="false">
      <c r="A21" s="20" t="s">
        <v>66</v>
      </c>
      <c r="B21" s="20" t="n">
        <v>76</v>
      </c>
      <c r="C21" s="20" t="n">
        <v>61</v>
      </c>
      <c r="D21" s="21" t="n">
        <f aca="false">IF(B21=0,0,C21/B21)</f>
        <v>0.802631578947369</v>
      </c>
      <c r="E21" s="20" t="n">
        <v>18</v>
      </c>
      <c r="F21" s="21" t="n">
        <f aca="false">IF(C21=0,0,E21/C21)</f>
        <v>0.295081967213115</v>
      </c>
      <c r="G21" s="22" t="n">
        <v>3.23</v>
      </c>
      <c r="H21" s="20" t="n">
        <v>0</v>
      </c>
      <c r="I21" s="20" t="n">
        <v>1</v>
      </c>
      <c r="J21" s="20" t="n">
        <v>0</v>
      </c>
      <c r="K21" s="20" t="n">
        <v>14</v>
      </c>
      <c r="L21" s="21" t="n">
        <f aca="false">IF(B21=0,0,(H21+I21+J21+K21)/B21)</f>
        <v>0.197368421052632</v>
      </c>
    </row>
    <row r="22" customFormat="false" ht="15" hidden="false" customHeight="false" outlineLevel="0" collapsed="false">
      <c r="A22" s="17" t="s">
        <v>67</v>
      </c>
      <c r="B22" s="17" t="n">
        <v>47</v>
      </c>
      <c r="C22" s="17" t="n">
        <v>46</v>
      </c>
      <c r="D22" s="18" t="n">
        <f aca="false">IF(B22=0,0,C22/B22)</f>
        <v>0.978723404255319</v>
      </c>
      <c r="E22" s="17" t="n">
        <v>2</v>
      </c>
      <c r="F22" s="18" t="n">
        <f aca="false">IF(C22=0,0,E22/C22)</f>
        <v>0.0434782608695652</v>
      </c>
      <c r="G22" s="19" t="n">
        <v>4.8</v>
      </c>
      <c r="H22" s="17" t="n">
        <v>0</v>
      </c>
      <c r="I22" s="17" t="n">
        <v>1</v>
      </c>
      <c r="J22" s="17" t="n">
        <v>0</v>
      </c>
      <c r="K22" s="17" t="n">
        <v>0</v>
      </c>
      <c r="L22" s="18" t="n">
        <f aca="false">IF(B22=0,0,(H22+I22+J22+K22)/B22)</f>
        <v>0.0212765957446809</v>
      </c>
    </row>
    <row r="23" customFormat="false" ht="15" hidden="false" customHeight="false" outlineLevel="0" collapsed="false">
      <c r="A23" s="20" t="s">
        <v>68</v>
      </c>
      <c r="B23" s="20" t="n">
        <v>107</v>
      </c>
      <c r="C23" s="20" t="n">
        <v>104</v>
      </c>
      <c r="D23" s="21" t="n">
        <f aca="false">IF(B23=0,0,C23/B23)</f>
        <v>0.97196261682243</v>
      </c>
      <c r="E23" s="20" t="n">
        <v>14</v>
      </c>
      <c r="F23" s="21" t="n">
        <f aca="false">IF(C23=0,0,E23/C23)</f>
        <v>0.134615384615385</v>
      </c>
      <c r="G23" s="22" t="n">
        <v>3.75</v>
      </c>
      <c r="H23" s="20" t="n">
        <v>0</v>
      </c>
      <c r="I23" s="20" t="n">
        <v>3</v>
      </c>
      <c r="J23" s="20" t="n">
        <v>0</v>
      </c>
      <c r="K23" s="20" t="n">
        <v>0</v>
      </c>
      <c r="L23" s="21" t="n">
        <f aca="false">IF(B23=0,0,(H23+I23+J23+K23)/B23)</f>
        <v>0.0280373831775701</v>
      </c>
    </row>
    <row r="24" customFormat="false" ht="15" hidden="false" customHeight="false" outlineLevel="0" collapsed="false">
      <c r="A24" s="23" t="s">
        <v>69</v>
      </c>
      <c r="B24" s="23" t="n">
        <f aca="false">SUM(B2:B23)</f>
        <v>4182</v>
      </c>
      <c r="C24" s="23" t="n">
        <f aca="false">SUM(C2:C23)</f>
        <v>3474</v>
      </c>
      <c r="D24" s="24" t="n">
        <f aca="false">IF(B24=0,0,C24/B24)</f>
        <v>0.830703012912482</v>
      </c>
      <c r="E24" s="23" t="n">
        <f aca="false">SUM(E2:E23)</f>
        <v>1007</v>
      </c>
      <c r="F24" s="24" t="n">
        <f aca="false">IF(C24=0,0,E24/C24)</f>
        <v>0.289867587795049</v>
      </c>
      <c r="G24" s="25" t="n">
        <f aca="false">IF(C24=0,0,SUMPRODUCT(G2:G23,C2:C23)/C24)</f>
        <v>2.83752446747265</v>
      </c>
      <c r="H24" s="23" t="n">
        <f aca="false">SUM(H2:H23)</f>
        <v>174</v>
      </c>
      <c r="I24" s="23" t="n">
        <f aca="false">SUM(I2:I23)</f>
        <v>222</v>
      </c>
      <c r="J24" s="23" t="n">
        <f aca="false">SUM(J2:J23)</f>
        <v>111</v>
      </c>
      <c r="K24" s="23" t="n">
        <f aca="false">SUM(K2:K23)</f>
        <v>201</v>
      </c>
      <c r="L24" s="24" t="n">
        <f aca="false">IF(B24=0,0,(H24+I24+J24+K24)/B24)</f>
        <v>0.169296987087518</v>
      </c>
    </row>
    <row r="26" customFormat="false" ht="15" hidden="false" customHeight="false" outlineLevel="0" collapsed="false">
      <c r="A26" s="2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2026-09-04T13:25:05Z</dcterms:created>
  <dc:creator>openpyxl</dc:creator>
  <dc:description/>
  <dc:language>en-US</dc:language>
  <cp:lastModifiedBy/>
  <dcterms:modified xsi:type="dcterms:W3CDTF">2026-09-04T13:25:05Z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