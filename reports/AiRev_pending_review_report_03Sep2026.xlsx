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sharedStrings.xml" ContentType="application/vnd.openxmlformats-officedocument.spreadsheetml.sharedStrings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Summary" sheetId="1" state="visible" r:id="rId3"/>
    <sheet name="Breakdown" sheetId="2" state="visible" r:id="rId4"/>
    <sheet name="Re-review cost" sheetId="3" state="visible" r:id="rId5"/>
    <sheet name="Action plan" sheetId="4" state="visible" r:id="rId6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<sst xmlns="http://schemas.openxmlformats.org/spreadsheetml/2006/main" count="211" uniqueCount="169">
  <si>
    <t xml:space="preserve">AiRev pending reviews — summary for management</t>
  </si>
  <si>
    <t xml:space="preserve">As of 3 Sep 2026 · Upskillize EcoPro LMS · 30 Days 30 AI Tools cohort</t>
  </si>
  <si>
    <t xml:space="preserve">Rows showing as "pending review"</t>
  </si>
  <si>
    <t xml:space="preserve">Admin header showed 1,146–1,152 during the day; the DB snapshot is the number used here.</t>
  </si>
  <si>
    <t xml:space="preserve">…that only the STUDENT can fix</t>
  </si>
  <si>
    <t xml:space="preserve">Private links, dead links, empty submissions, wrong work. Re-running these costs money and changes nothing.</t>
  </si>
  <si>
    <t xml:space="preserve">…that WE must fix (re-run)</t>
  </si>
  <si>
    <t xml:space="preserve">261 grade-guard refusals + 29 rubric-cache failures + 54 never reviewed. One re-run with a healthy provider.</t>
  </si>
  <si>
    <t xml:space="preserve">Share that is the student's to fix</t>
  </si>
  <si>
    <t xml:space="preserve">Estimated cost to re-run our 261</t>
  </si>
  <si>
    <t xml:space="preserve">Blended estimate. Editable assumptions on the Cost sheet — measure 5 rows first, then update.</t>
  </si>
  <si>
    <t xml:space="preserve">Same, in INR</t>
  </si>
  <si>
    <t xml:space="preserve">Spent so far on the failed loop (reported)</t>
  </si>
  <si>
    <t xml:space="preserve">The sweep re-bought the same unreadable rows every 3 hours with no spending cap. Now capped.</t>
  </si>
  <si>
    <t xml:space="preserve">What went wrong, in one line each</t>
  </si>
  <si>
    <t xml:space="preserve">1. Most "pending" rows were not waiting for a marker. AiRev had already looked, found nothing it could read, and refused — but nobody told the student.</t>
  </si>
  <si>
    <t xml:space="preserve">2. A link pasted in the submit form's link field went to the file downloader, never the browser. 335 link submissions were refused without ever being opened as a page.</t>
  </si>
  <si>
    <t xml:space="preserve">3. When the AI provider went down, the sweep kept re-buying the same failed rows every 3 hours. The safety brake never fired because a provider failure was counted as a policy skip.</t>
  </si>
  <si>
    <t xml:space="preserve">4. Every review runs on the staff key, so none of it appeared in the credit ledger. The bill was the first visible number.</t>
  </si>
  <si>
    <t xml:space="preserve">What is done / what is next → see Action plan sheet</t>
  </si>
  <si>
    <t xml:space="preserve">Pending review — what each row actually is</t>
  </si>
  <si>
    <t xml:space="preserve">30 Days 30 AI Tools (course 55). DB snapshot 3 Sep 2026, 12:55 IST. Live counts drift by a few as students submit.</t>
  </si>
  <si>
    <t xml:space="preserve">#</t>
  </si>
  <si>
    <t xml:space="preserve">Reason (what AiRev found)</t>
  </si>
  <si>
    <t xml:space="preserve">Rows</t>
  </si>
  <si>
    <t xml:space="preserve">Whose move</t>
  </si>
  <si>
    <t xml:space="preserve">What the student must do</t>
  </si>
  <si>
    <t xml:space="preserve">What we must do</t>
  </si>
  <si>
    <t xml:space="preserve">Status</t>
  </si>
  <si>
    <t xml:space="preserve">Re-run cost?</t>
  </si>
  <si>
    <t xml:space="preserve">Link answered 401/403 or asked for a sign-in</t>
  </si>
  <si>
    <t xml:space="preserve">Student (mostly)</t>
  </si>
  <si>
    <t xml:space="preserve">Open the link in a private window. If it asks to sign in, change sharing to "Anyone with the link can view". Submit again.</t>
  </si>
  <si>
    <t xml:space="preserve">Some are public pages that block bots (Canva, Notion). Fixed: a link in the link field now opens in the browser renderer, not the raw downloader.</t>
  </si>
  <si>
    <t xml:space="preserve">Fix built, awaiting deploy</t>
  </si>
  <si>
    <t xml:space="preserve">No — send back</t>
  </si>
  <si>
    <t xml:space="preserve">Link dead — 404, host not found, redirect loop</t>
  </si>
  <si>
    <t xml:space="preserve">Student</t>
  </si>
  <si>
    <t xml:space="preserve">Check the address, or upload the file instead. Submit again.</t>
  </si>
  <si>
    <t xml:space="preserve">—</t>
  </si>
  <si>
    <t xml:space="preserve">Ready to send back</t>
  </si>
  <si>
    <t xml:space="preserve">No</t>
  </si>
  <si>
    <t xml:space="preserve">Link opened, nothing readable on it (video/design page)</t>
  </si>
  <si>
    <t xml:space="preserve">Student (partly)</t>
  </si>
  <si>
    <t xml:space="preserve">Add 3–4 lines on what you made and how. Submit again with the link.</t>
  </si>
  <si>
    <t xml:space="preserve">Same renderer fix as #1 applies — some of these will now read.</t>
  </si>
  <si>
    <t xml:space="preserve">Different work from what the brief asked</t>
  </si>
  <si>
    <t xml:space="preserve">Read the brief again. Submit the work it asks for.</t>
  </si>
  <si>
    <t xml:space="preserve">Admin reads the 69 evidence lines before sending (panel shows what AiRev saw).</t>
  </si>
  <si>
    <t xml:space="preserve">File opened but had no readable text (blurry scan/photo)</t>
  </si>
  <si>
    <t xml:space="preserve">Sharper scan, or type the answer as well. Submit again.</t>
  </si>
  <si>
    <t xml:space="preserve">Nothing readable arrived — no file and no written answer</t>
  </si>
  <si>
    <t xml:space="preserve">Attach the file again or type the answer. Check it opens on your device first. Submit again.</t>
  </si>
  <si>
    <t xml:space="preserve">Add a submit-time check so an empty submission is refused at once, not days later.</t>
  </si>
  <si>
    <t xml:space="preserve">Submit-time check not built</t>
  </si>
  <si>
    <t xml:space="preserve">Grade guard refused: under 50% of the brief's requirements got a verdict</t>
  </si>
  <si>
    <t xml:space="preserve">Us</t>
  </si>
  <si>
    <t xml:space="preserve">Nothing — their work is fine.</t>
  </si>
  <si>
    <t xml:space="preserve">Re-run once now the AI provider is healthy. Rows still refused after that point to a requirement the deliverable cannot show → tighten the derivation rule.</t>
  </si>
  <si>
    <t xml:space="preserve">Waiting for one re-run</t>
  </si>
  <si>
    <t xml:space="preserve">YES — see Cost sheet</t>
  </si>
  <si>
    <t xml:space="preserve">Task requirements could not be read from cache</t>
  </si>
  <si>
    <t xml:space="preserve">Nothing.</t>
  </si>
  <si>
    <t xml:space="preserve">Same re-run.</t>
  </si>
  <si>
    <t xml:space="preserve">Never reviewed at all (queued, never picked up)</t>
  </si>
  <si>
    <t xml:space="preserve">Next sweep picks them up once the sweep is switched back on.</t>
  </si>
  <si>
    <t xml:space="preserve">Waiting for sweep</t>
  </si>
  <si>
    <t xml:space="preserve">Yes — first review</t>
  </si>
  <si>
    <t xml:space="preserve">Refusal wording not recognised</t>
  </si>
  <si>
    <t xml:space="preserve">Check by hand</t>
  </si>
  <si>
    <t xml:space="preserve">Look at the row.</t>
  </si>
  <si>
    <t xml:space="preserve">Open</t>
  </si>
  <si>
    <t xml:space="preserve">Other courses (not 30 Days)</t>
  </si>
  <si>
    <t xml:space="preserve">Out of scope for this exercise.</t>
  </si>
  <si>
    <t xml:space="preserve">TOTAL pending (all reasons)</t>
  </si>
  <si>
    <t xml:space="preserve">Student's move (rows 1–6)</t>
  </si>
  <si>
    <t xml:space="preserve">Our move (rows 7–9)</t>
  </si>
  <si>
    <t xml:space="preserve">Source: assignment_submissions joined to assignments, course_id = 55, grade IS NULL, feedback carrying AiRev's notGraded verdict; reasons read from the stored message text. Counts supplied from the LMS database on 3 Sep 2026.</t>
  </si>
  <si>
    <t xml:space="preserve">Estimated cost to re-run the rows we failed</t>
  </si>
  <si>
    <t xml:space="preserve">Blue = editable assumption. Yellow = update after measuring 5 rows on /health. Everything else is a formula.</t>
  </si>
  <si>
    <t xml:space="preserve">Input / result</t>
  </si>
  <si>
    <t xml:space="preserve">Value</t>
  </si>
  <si>
    <t xml:space="preserve">Note</t>
  </si>
  <si>
    <t xml:space="preserve">Rows to re-run (grade guard refusals)</t>
  </si>
  <si>
    <t xml:space="preserve">From the DB reason count (178 + 83). Add the 29 rubric failures if running those too.</t>
  </si>
  <si>
    <t xml:space="preserve">Spent so far on the failed loop (USD)</t>
  </si>
  <si>
    <t xml:space="preserve">As reported by Upskillize on 3 Sep. Not measured by this sheet.</t>
  </si>
  <si>
    <t xml:space="preserve">Model prices (verify on the Anthropic console)</t>
  </si>
  <si>
    <t xml:space="preserve">Claude Haiku 4.5 — input, USD per 1M tokens</t>
  </si>
  <si>
    <t xml:space="preserve">Assumed list price. Update from console.</t>
  </si>
  <si>
    <t xml:space="preserve">Claude Haiku 4.5 — output, USD per 1M tokens</t>
  </si>
  <si>
    <t xml:space="preserve">Whisper transcription, USD per minute</t>
  </si>
  <si>
    <t xml:space="preserve">Assumed list price. Only video/audio rows pay this.</t>
  </si>
  <si>
    <t xml:space="preserve">Per-row token assumptions (measure, then overwrite the yellow cells)</t>
  </si>
  <si>
    <t xml:space="preserve">Input tokens per review call (brief + requirements + submission)</t>
  </si>
  <si>
    <t xml:space="preserve">Typical for a text/PDF row. Measure: /health spend before/after 5 rows ÷ 5.</t>
  </si>
  <si>
    <t xml:space="preserve">Output tokens per review call</t>
  </si>
  <si>
    <t xml:space="preserve">Structured review JSON + feedback.</t>
  </si>
  <si>
    <t xml:space="preserve">Share of rows needing the strong-tier retry</t>
  </si>
  <si>
    <t xml:space="preserve">Same model with extended thinking; fires when the first pass is thin.</t>
  </si>
  <si>
    <t xml:space="preserve">Token multiplier on a retry</t>
  </si>
  <si>
    <t xml:space="preserve">Thinking budget adds output tokens.</t>
  </si>
  <si>
    <t xml:space="preserve">Share of the 261 that are video/audio</t>
  </si>
  <si>
    <t xml:space="preserve">Day 17 is a video day; the mix is a guess until measured.</t>
  </si>
  <si>
    <t xml:space="preserve">Average recording length (minutes)</t>
  </si>
  <si>
    <t xml:space="preserve">Frames sampled per video</t>
  </si>
  <si>
    <t xml:space="preserve">Input tokens per sampled frame (vision)</t>
  </si>
  <si>
    <t xml:space="preserve">USD → INR</t>
  </si>
  <si>
    <t xml:space="preserve">Update to today's rate.</t>
  </si>
  <si>
    <t xml:space="preserve">Results</t>
  </si>
  <si>
    <t xml:space="preserve">Review call cost per row (text/PDF)</t>
  </si>
  <si>
    <t xml:space="preserve">(input×price + output×price) with the retry share blended in.</t>
  </si>
  <si>
    <t xml:space="preserve">Extra cost per VIDEO row (transcription + frames)</t>
  </si>
  <si>
    <t xml:space="preserve">Whisper minutes + one vision read per frame.</t>
  </si>
  <si>
    <t xml:space="preserve">Cost per text row</t>
  </si>
  <si>
    <t xml:space="preserve">Cost per video row</t>
  </si>
  <si>
    <t xml:space="preserve">Blended cost per row</t>
  </si>
  <si>
    <t xml:space="preserve">Weighted by the video share above.</t>
  </si>
  <si>
    <t xml:space="preserve">TOTAL to re-run the rows above (USD)</t>
  </si>
  <si>
    <t xml:space="preserve">TOTAL in INR</t>
  </si>
  <si>
    <t xml:space="preserve">…as a share of what the failed loop cost</t>
  </si>
  <si>
    <t xml:space="preserve">The re-run is a small fraction of what was burned re-refusing unreadable rows.</t>
  </si>
  <si>
    <t xml:space="preserve">Cost if a row were run TWICE by mistake (the old behaviour)</t>
  </si>
  <si>
    <t xml:space="preserve">The attempt ceiling now stops every row at 2 tries; the brake stops a dead-provider run after 8 rows.</t>
  </si>
  <si>
    <t xml:space="preserve">How to replace the estimate with a measurement (10 minutes)</t>
  </si>
  <si>
    <t xml:space="preserve">1. Read GET /health → spend.unbilled_input_tokens and unbilled_output_tokens (note both).</t>
  </si>
  <si>
    <t xml:space="preserve">2. POST /api/review/jobs/sweep?limit=5 with the admin key. Wait ~5 minutes.</t>
  </si>
  <si>
    <t xml:space="preserve">3. Read /health again. (after − before) ÷ 5 = real tokens per row. Type them into C14 and C15.</t>
  </si>
  <si>
    <t xml:space="preserve">4. The totals above recalculate. Then run the rest.</t>
  </si>
  <si>
    <t xml:space="preserve">Action plan — in the order it must happen</t>
  </si>
  <si>
    <t xml:space="preserve">Each step depends on the one above it.</t>
  </si>
  <si>
    <t xml:space="preserve">Action</t>
  </si>
  <si>
    <t xml:space="preserve">Why in this order</t>
  </si>
  <si>
    <t xml:space="preserve">Owner</t>
  </si>
  <si>
    <t xml:space="preserve">Cost</t>
  </si>
  <si>
    <t xml:space="preserve">Deploy the four AiRev fixes (attempt ceiling, brake, spend counter, link-field renderer)</t>
  </si>
  <si>
    <t xml:space="preserve">Nothing below is safe to run until the sweep cannot loop and a link can be opened as a page.</t>
  </si>
  <si>
    <t xml:space="preserve">Ranjana</t>
  </si>
  <si>
    <t xml:space="preserve">Committed; push pending</t>
  </si>
  <si>
    <t xml:space="preserve">Deploy the LMS changes (Waiting-on-students panel, returned-row resubmit, student card)</t>
  </si>
  <si>
    <t xml:space="preserve">The send-back must be readable and resubmittable before anyone is sent back.</t>
  </si>
  <si>
    <t xml:space="preserve">Panel live; rest on disk</t>
  </si>
  <si>
    <t xml:space="preserve">Read the 69 "different work" evidence lines in the panel; untick any the admin disagrees with</t>
  </si>
  <si>
    <t xml:space="preserve">Only bucket where a human's judgement matters before sending.</t>
  </si>
  <si>
    <t xml:space="preserve">Admin</t>
  </si>
  <si>
    <t xml:space="preserve">5 minutes</t>
  </si>
  <si>
    <t xml:space="preserve">Probe 20 of the link rows on the new code (sweep?limit=20)</t>
  </si>
  <si>
    <t xml:space="preserve">Tells us how many "could not open" links were public all along. Avoids telling those students to fix nothing.</t>
  </si>
  <si>
    <t xml:space="preserve">~20 rows</t>
  </si>
  <si>
    <t xml:space="preserve">Not started</t>
  </si>
  <si>
    <t xml:space="preserve">Send the student-side rows back with the reason-specific note</t>
  </si>
  <si>
    <t xml:space="preserve">Removes them from the queue; they can no longer be re-bought by any sweep. Grade stays empty — no zeros.</t>
  </si>
  <si>
    <t xml:space="preserve">₹0</t>
  </si>
  <si>
    <t xml:space="preserve">Button ready</t>
  </si>
  <si>
    <t xml:space="preserve">Measure 5 rows on /health, update the yellow cells on the Cost sheet</t>
  </si>
  <si>
    <t xml:space="preserve">Replaces the estimate with a real number before spending on 261.</t>
  </si>
  <si>
    <t xml:space="preserve">5 rows</t>
  </si>
  <si>
    <t xml:space="preserve">Switch the sweep back on (remove SWEEP_MAX_PER_RUN=0)</t>
  </si>
  <si>
    <t xml:space="preserve">With the student rows gone, the only eligible rows are ours: 261 + 29 + 54. Two ticks clears them.</t>
  </si>
  <si>
    <t xml:space="preserve">See Cost sheet</t>
  </si>
  <si>
    <t xml:space="preserve">Rows still refused after step 7 → tighten the requirement-derivation rule</t>
  </si>
  <si>
    <t xml:space="preserve">If the guard refuses again with a healthy provider, the brief asks for something the deliverable cannot show. One prompt change, then re-derive.</t>
  </si>
  <si>
    <t xml:space="preserve">Small</t>
  </si>
  <si>
    <t xml:space="preserve">Depends on 7</t>
  </si>
  <si>
    <t xml:space="preserve">Build the submit-time check: empty submission or bare link refused at once</t>
  </si>
  <si>
    <t xml:space="preserve">Stops the pile refilling. Today a student learns days later; they should learn in the same minute.</t>
  </si>
  <si>
    <t xml:space="preserve">Not built</t>
  </si>
  <si>
    <t xml:space="preserve">Build an intake cache so any future re-review skips OCR/transcription</t>
  </si>
  <si>
    <t xml:space="preserve">Every re-review today re-reads the file at full price. Not needed for this run; needed before the next rules change.</t>
  </si>
</sst>
</file>

<file path=xl/styles.xml><?xml version="1.0" encoding="utf-8"?>
<styleSheet xmlns="http://schemas.openxmlformats.org/spreadsheetml/2006/main">
  <numFmts count="14">
    <numFmt numFmtId="164" formatCode="General"/>
    <numFmt numFmtId="165" formatCode="#,##0"/>
    <numFmt numFmtId="166" formatCode="0%"/>
    <numFmt numFmtId="167" formatCode="\$#,##0.00"/>
    <numFmt numFmtId="168" formatCode="\₹#,##0"/>
    <numFmt numFmtId="169" formatCode="\$#,##0"/>
    <numFmt numFmtId="170" formatCode="General"/>
    <numFmt numFmtId="171" formatCode="\$0.00"/>
    <numFmt numFmtId="172" formatCode="\$0.000"/>
    <numFmt numFmtId="173" formatCode="0.0\x"/>
    <numFmt numFmtId="174" formatCode="0.0"/>
    <numFmt numFmtId="175" formatCode="0"/>
    <numFmt numFmtId="176" formatCode="\$0.0000"/>
    <numFmt numFmtId="177" formatCode="0.0%"/>
  </numFmts>
  <fonts count="17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6"/>
      <color rgb="FF0B1628"/>
      <name val="Arial"/>
      <family val="0"/>
      <charset val="1"/>
    </font>
    <font>
      <i val="true"/>
      <sz val="10"/>
      <color rgb="FF555555"/>
      <name val="Arial"/>
      <family val="0"/>
      <charset val="1"/>
    </font>
    <font>
      <b val="true"/>
      <sz val="10"/>
      <color rgb="FF000000"/>
      <name val="Arial"/>
      <family val="0"/>
      <charset val="1"/>
    </font>
    <font>
      <b val="true"/>
      <sz val="12"/>
      <color rgb="FF0B1628"/>
      <name val="Arial"/>
      <family val="0"/>
      <charset val="1"/>
    </font>
    <font>
      <i val="true"/>
      <sz val="9"/>
      <color rgb="FF555555"/>
      <name val="Arial"/>
      <family val="0"/>
      <charset val="1"/>
    </font>
    <font>
      <b val="true"/>
      <sz val="12"/>
      <color rgb="FFE8521A"/>
      <name val="Arial"/>
      <family val="0"/>
      <charset val="1"/>
    </font>
    <font>
      <b val="true"/>
      <sz val="11"/>
      <color rgb="FF0B1628"/>
      <name val="Arial"/>
      <family val="0"/>
      <charset val="1"/>
    </font>
    <font>
      <sz val="10"/>
      <color rgb="FF000000"/>
      <name val="Arial"/>
      <family val="0"/>
      <charset val="1"/>
    </font>
    <font>
      <b val="true"/>
      <i val="true"/>
      <sz val="10"/>
      <color rgb="FF555555"/>
      <name val="Arial"/>
      <family val="0"/>
      <charset val="1"/>
    </font>
    <font>
      <b val="true"/>
      <sz val="10"/>
      <color rgb="FFFFFFFF"/>
      <name val="Arial"/>
      <family val="0"/>
      <charset val="1"/>
    </font>
    <font>
      <b val="true"/>
      <sz val="10"/>
      <color rgb="FFE8521A"/>
      <name val="Arial"/>
      <family val="0"/>
      <charset val="1"/>
    </font>
    <font>
      <b val="true"/>
      <sz val="10"/>
      <color rgb="FF0B1628"/>
      <name val="Arial"/>
      <family val="0"/>
      <charset val="1"/>
    </font>
    <font>
      <sz val="10"/>
      <color rgb="FF0000FF"/>
      <name val="Arial"/>
      <family val="0"/>
      <charset val="1"/>
    </font>
  </fonts>
  <fills count="4">
    <fill>
      <patternFill patternType="none"/>
    </fill>
    <fill>
      <patternFill patternType="gray125"/>
    </fill>
    <fill>
      <patternFill patternType="solid">
        <fgColor rgb="FF0B1628"/>
        <bgColor rgb="FF000000"/>
      </patternFill>
    </fill>
    <fill>
      <patternFill patternType="solid">
        <fgColor rgb="FFFFF2B3"/>
        <bgColor rgb="FFFFFF99"/>
      </patternFill>
    </fill>
  </fills>
  <borders count="2">
    <border diagonalUp="false" diagonalDown="false">
      <left/>
      <right/>
      <top/>
      <bottom/>
      <diagonal/>
    </border>
    <border diagonalUp="false" diagonalDown="false">
      <left style="thin">
        <color rgb="FFD9DCE3"/>
      </left>
      <right style="thin">
        <color rgb="FFD9DCE3"/>
      </right>
      <top style="thin">
        <color rgb="FFD9DCE3"/>
      </top>
      <bottom style="thin">
        <color rgb="FFD9DCE3"/>
      </bottom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40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5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6" fillId="0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5" fontId="7" fillId="0" borderId="1" xfId="0" applyFont="true" applyBorder="true" applyAlignment="true" applyProtection="false">
      <alignment horizontal="right" vertical="bottom" textRotation="0" wrapText="false" indent="0" shrinkToFit="false"/>
      <protection locked="true" hidden="false"/>
    </xf>
    <xf numFmtId="164" fontId="8" fillId="0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5" fontId="9" fillId="0" borderId="1" xfId="0" applyFont="true" applyBorder="true" applyAlignment="true" applyProtection="false">
      <alignment horizontal="right" vertical="bottom" textRotation="0" wrapText="false" indent="0" shrinkToFit="false"/>
      <protection locked="true" hidden="false"/>
    </xf>
    <xf numFmtId="166" fontId="9" fillId="0" borderId="1" xfId="0" applyFont="true" applyBorder="true" applyAlignment="true" applyProtection="false">
      <alignment horizontal="right" vertical="bottom" textRotation="0" wrapText="false" indent="0" shrinkToFit="false"/>
      <protection locked="true" hidden="false"/>
    </xf>
    <xf numFmtId="164" fontId="0" fillId="0" borderId="1" xfId="0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7" fontId="7" fillId="0" borderId="1" xfId="0" applyFont="true" applyBorder="true" applyAlignment="true" applyProtection="false">
      <alignment horizontal="right" vertical="bottom" textRotation="0" wrapText="false" indent="0" shrinkToFit="false"/>
      <protection locked="true" hidden="false"/>
    </xf>
    <xf numFmtId="168" fontId="7" fillId="0" borderId="1" xfId="0" applyFont="true" applyBorder="true" applyAlignment="true" applyProtection="false">
      <alignment horizontal="right" vertical="bottom" textRotation="0" wrapText="false" indent="0" shrinkToFit="false"/>
      <protection locked="true" hidden="false"/>
    </xf>
    <xf numFmtId="169" fontId="9" fillId="0" borderId="1" xfId="0" applyFont="true" applyBorder="true" applyAlignment="true" applyProtection="false">
      <alignment horizontal="right" vertical="bottom" textRotation="0" wrapText="false" indent="0" shrinkToFit="false"/>
      <protection locked="true" hidden="false"/>
    </xf>
    <xf numFmtId="164" fontId="10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11" fillId="0" borderId="0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12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13" fillId="2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1" fillId="0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6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6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70" fontId="14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70" fontId="15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6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8" fillId="0" borderId="0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5" fontId="16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9" fontId="16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71" fontId="16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72" fontId="16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5" fontId="16" fillId="3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6" fontId="16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73" fontId="16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6" fontId="16" fillId="3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74" fontId="16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75" fontId="16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76" fontId="11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11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7" fontId="6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8" fontId="6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77" fontId="11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7" fontId="11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11" fillId="0" borderId="0" xfId="0" applyFont="true" applyBorder="tru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FF2B3"/>
      <rgbColor rgb="FFCCFFFF"/>
      <rgbColor rgb="FF660066"/>
      <rgbColor rgb="FFFF8080"/>
      <rgbColor rgb="FF0066CC"/>
      <rgbColor rgb="FFD9DCE3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E8521A"/>
      <rgbColor rgb="FF555555"/>
      <rgbColor rgb="FF969696"/>
      <rgbColor rgb="FF003366"/>
      <rgbColor rgb="FF339966"/>
      <rgbColor rgb="FF0B1628"/>
      <rgbColor rgb="FF333300"/>
      <rgbColor rgb="FF993300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C18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44"/>
    <col collapsed="false" customWidth="true" hidden="false" outlineLevel="0" max="2" min="2" style="0" width="16"/>
    <col collapsed="false" customWidth="true" hidden="false" outlineLevel="0" max="3" min="3" style="0" width="70"/>
  </cols>
  <sheetData>
    <row r="1" customFormat="false" ht="19.7" hidden="false" customHeight="false" outlineLevel="0" collapsed="false">
      <c r="A1" s="1" t="s">
        <v>0</v>
      </c>
    </row>
    <row r="2" customFormat="false" ht="15" hidden="false" customHeight="false" outlineLevel="0" collapsed="false">
      <c r="A2" s="2" t="s">
        <v>1</v>
      </c>
    </row>
    <row r="4" customFormat="false" ht="22.35" hidden="false" customHeight="false" outlineLevel="0" collapsed="false">
      <c r="A4" s="3" t="s">
        <v>2</v>
      </c>
      <c r="B4" s="4" t="n">
        <f aca="false">Breakdown!C16</f>
        <v>1157</v>
      </c>
      <c r="C4" s="5" t="s">
        <v>3</v>
      </c>
    </row>
    <row r="5" customFormat="false" ht="22.35" hidden="false" customHeight="false" outlineLevel="0" collapsed="false">
      <c r="A5" s="3" t="s">
        <v>4</v>
      </c>
      <c r="B5" s="6" t="n">
        <f aca="false">Breakdown!C18</f>
        <v>788</v>
      </c>
      <c r="C5" s="5" t="s">
        <v>5</v>
      </c>
    </row>
    <row r="6" customFormat="false" ht="22.35" hidden="false" customHeight="false" outlineLevel="0" collapsed="false">
      <c r="A6" s="3" t="s">
        <v>6</v>
      </c>
      <c r="B6" s="4" t="n">
        <f aca="false">Breakdown!C19</f>
        <v>344</v>
      </c>
      <c r="C6" s="5" t="s">
        <v>7</v>
      </c>
    </row>
    <row r="7" customFormat="false" ht="15" hidden="false" customHeight="false" outlineLevel="0" collapsed="false">
      <c r="A7" s="3" t="s">
        <v>8</v>
      </c>
      <c r="B7" s="7" t="n">
        <f aca="false">Breakdown!C18/Breakdown!C16</f>
        <v>0.681071737251513</v>
      </c>
      <c r="C7" s="8"/>
    </row>
    <row r="8" customFormat="false" ht="22.35" hidden="false" customHeight="false" outlineLevel="0" collapsed="false">
      <c r="A8" s="3" t="s">
        <v>9</v>
      </c>
      <c r="B8" s="9" t="n">
        <f aca="false">'Re-review cost'!C31</f>
        <v>9.608715</v>
      </c>
      <c r="C8" s="5" t="s">
        <v>10</v>
      </c>
    </row>
    <row r="9" customFormat="false" ht="15" hidden="false" customHeight="false" outlineLevel="0" collapsed="false">
      <c r="A9" s="3" t="s">
        <v>11</v>
      </c>
      <c r="B9" s="10" t="n">
        <f aca="false">'Re-review cost'!C32</f>
        <v>807.13206</v>
      </c>
      <c r="C9" s="8"/>
    </row>
    <row r="10" customFormat="false" ht="22.35" hidden="false" customHeight="false" outlineLevel="0" collapsed="false">
      <c r="A10" s="3" t="s">
        <v>12</v>
      </c>
      <c r="B10" s="11" t="n">
        <f aca="false">'Re-review cost'!C6</f>
        <v>120</v>
      </c>
      <c r="C10" s="5" t="s">
        <v>13</v>
      </c>
    </row>
    <row r="12" customFormat="false" ht="15" hidden="false" customHeight="false" outlineLevel="0" collapsed="false">
      <c r="A12" s="12" t="s">
        <v>14</v>
      </c>
    </row>
    <row r="13" customFormat="false" ht="30" hidden="false" customHeight="true" outlineLevel="0" collapsed="false">
      <c r="A13" s="13" t="s">
        <v>15</v>
      </c>
      <c r="B13" s="13"/>
      <c r="C13" s="13"/>
    </row>
    <row r="14" customFormat="false" ht="30" hidden="false" customHeight="true" outlineLevel="0" collapsed="false">
      <c r="A14" s="13" t="s">
        <v>16</v>
      </c>
      <c r="B14" s="13"/>
      <c r="C14" s="13"/>
    </row>
    <row r="15" customFormat="false" ht="30" hidden="false" customHeight="true" outlineLevel="0" collapsed="false">
      <c r="A15" s="13" t="s">
        <v>17</v>
      </c>
      <c r="B15" s="13"/>
      <c r="C15" s="13"/>
    </row>
    <row r="16" customFormat="false" ht="30" hidden="false" customHeight="true" outlineLevel="0" collapsed="false">
      <c r="A16" s="13" t="s">
        <v>18</v>
      </c>
      <c r="B16" s="13"/>
      <c r="C16" s="13"/>
    </row>
    <row r="18" customFormat="false" ht="15" hidden="false" customHeight="false" outlineLevel="0" collapsed="false">
      <c r="A18" s="14" t="s">
        <v>19</v>
      </c>
    </row>
  </sheetData>
  <mergeCells count="4">
    <mergeCell ref="A13:C13"/>
    <mergeCell ref="A14:C14"/>
    <mergeCell ref="A15:C15"/>
    <mergeCell ref="A16:C16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H22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4" topLeftCell="A5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4"/>
    <col collapsed="false" customWidth="true" hidden="false" outlineLevel="0" max="2" min="2" style="0" width="44"/>
    <col collapsed="false" customWidth="true" hidden="false" outlineLevel="0" max="3" min="3" style="0" width="8"/>
    <col collapsed="false" customWidth="true" hidden="false" outlineLevel="0" max="4" min="4" style="0" width="16"/>
    <col collapsed="false" customWidth="true" hidden="false" outlineLevel="0" max="5" min="5" style="0" width="44"/>
    <col collapsed="false" customWidth="true" hidden="false" outlineLevel="0" max="6" min="6" style="0" width="48"/>
    <col collapsed="false" customWidth="true" hidden="false" outlineLevel="0" max="7" min="7" style="0" width="22"/>
    <col collapsed="false" customWidth="true" hidden="false" outlineLevel="0" max="8" min="8" style="0" width="18"/>
  </cols>
  <sheetData>
    <row r="1" customFormat="false" ht="19.7" hidden="false" customHeight="false" outlineLevel="0" collapsed="false">
      <c r="A1" s="1" t="s">
        <v>20</v>
      </c>
    </row>
    <row r="2" customFormat="false" ht="15" hidden="false" customHeight="false" outlineLevel="0" collapsed="false">
      <c r="A2" s="2" t="s">
        <v>21</v>
      </c>
    </row>
    <row r="4" customFormat="false" ht="15" hidden="false" customHeight="false" outlineLevel="0" collapsed="false">
      <c r="A4" s="15" t="s">
        <v>22</v>
      </c>
      <c r="B4" s="15" t="s">
        <v>23</v>
      </c>
      <c r="C4" s="15" t="s">
        <v>24</v>
      </c>
      <c r="D4" s="15" t="s">
        <v>25</v>
      </c>
      <c r="E4" s="15" t="s">
        <v>26</v>
      </c>
      <c r="F4" s="15" t="s">
        <v>27</v>
      </c>
      <c r="G4" s="15" t="s">
        <v>28</v>
      </c>
      <c r="H4" s="15" t="s">
        <v>29</v>
      </c>
    </row>
    <row r="5" customFormat="false" ht="61.5" hidden="false" customHeight="true" outlineLevel="0" collapsed="false">
      <c r="A5" s="16" t="n">
        <v>1</v>
      </c>
      <c r="B5" s="16" t="s">
        <v>30</v>
      </c>
      <c r="C5" s="16" t="n">
        <v>72</v>
      </c>
      <c r="D5" s="16" t="s">
        <v>31</v>
      </c>
      <c r="E5" s="16" t="s">
        <v>32</v>
      </c>
      <c r="F5" s="16" t="s">
        <v>33</v>
      </c>
      <c r="G5" s="16" t="s">
        <v>34</v>
      </c>
      <c r="H5" s="16" t="s">
        <v>35</v>
      </c>
    </row>
    <row r="6" customFormat="false" ht="61.5" hidden="false" customHeight="true" outlineLevel="0" collapsed="false">
      <c r="A6" s="16" t="n">
        <v>2</v>
      </c>
      <c r="B6" s="16" t="s">
        <v>36</v>
      </c>
      <c r="C6" s="16" t="n">
        <v>20</v>
      </c>
      <c r="D6" s="16" t="s">
        <v>37</v>
      </c>
      <c r="E6" s="16" t="s">
        <v>38</v>
      </c>
      <c r="F6" s="16" t="s">
        <v>39</v>
      </c>
      <c r="G6" s="16" t="s">
        <v>40</v>
      </c>
      <c r="H6" s="16" t="s">
        <v>41</v>
      </c>
    </row>
    <row r="7" customFormat="false" ht="61.5" hidden="false" customHeight="true" outlineLevel="0" collapsed="false">
      <c r="A7" s="16" t="n">
        <v>3</v>
      </c>
      <c r="B7" s="16" t="s">
        <v>42</v>
      </c>
      <c r="C7" s="16" t="n">
        <v>263</v>
      </c>
      <c r="D7" s="16" t="s">
        <v>43</v>
      </c>
      <c r="E7" s="16" t="s">
        <v>44</v>
      </c>
      <c r="F7" s="16" t="s">
        <v>45</v>
      </c>
      <c r="G7" s="16" t="s">
        <v>34</v>
      </c>
      <c r="H7" s="16" t="s">
        <v>35</v>
      </c>
    </row>
    <row r="8" customFormat="false" ht="61.5" hidden="false" customHeight="true" outlineLevel="0" collapsed="false">
      <c r="A8" s="16" t="n">
        <v>4</v>
      </c>
      <c r="B8" s="16" t="s">
        <v>46</v>
      </c>
      <c r="C8" s="16" t="n">
        <v>69</v>
      </c>
      <c r="D8" s="16" t="s">
        <v>37</v>
      </c>
      <c r="E8" s="16" t="s">
        <v>47</v>
      </c>
      <c r="F8" s="16" t="s">
        <v>48</v>
      </c>
      <c r="G8" s="16" t="s">
        <v>40</v>
      </c>
      <c r="H8" s="16" t="s">
        <v>41</v>
      </c>
    </row>
    <row r="9" customFormat="false" ht="61.5" hidden="false" customHeight="true" outlineLevel="0" collapsed="false">
      <c r="A9" s="16" t="n">
        <v>5</v>
      </c>
      <c r="B9" s="16" t="s">
        <v>49</v>
      </c>
      <c r="C9" s="16" t="n">
        <v>4</v>
      </c>
      <c r="D9" s="16" t="s">
        <v>37</v>
      </c>
      <c r="E9" s="16" t="s">
        <v>50</v>
      </c>
      <c r="F9" s="16" t="s">
        <v>39</v>
      </c>
      <c r="G9" s="16" t="s">
        <v>40</v>
      </c>
      <c r="H9" s="16" t="s">
        <v>41</v>
      </c>
    </row>
    <row r="10" customFormat="false" ht="61.5" hidden="false" customHeight="true" outlineLevel="0" collapsed="false">
      <c r="A10" s="16" t="n">
        <v>6</v>
      </c>
      <c r="B10" s="16" t="s">
        <v>51</v>
      </c>
      <c r="C10" s="16" t="n">
        <v>360</v>
      </c>
      <c r="D10" s="16" t="s">
        <v>37</v>
      </c>
      <c r="E10" s="16" t="s">
        <v>52</v>
      </c>
      <c r="F10" s="16" t="s">
        <v>53</v>
      </c>
      <c r="G10" s="16" t="s">
        <v>54</v>
      </c>
      <c r="H10" s="16" t="s">
        <v>41</v>
      </c>
    </row>
    <row r="11" customFormat="false" ht="61.5" hidden="false" customHeight="true" outlineLevel="0" collapsed="false">
      <c r="A11" s="16" t="n">
        <v>7</v>
      </c>
      <c r="B11" s="16" t="s">
        <v>55</v>
      </c>
      <c r="C11" s="16" t="n">
        <v>261</v>
      </c>
      <c r="D11" s="16" t="s">
        <v>56</v>
      </c>
      <c r="E11" s="16" t="s">
        <v>57</v>
      </c>
      <c r="F11" s="16" t="s">
        <v>58</v>
      </c>
      <c r="G11" s="16" t="s">
        <v>59</v>
      </c>
      <c r="H11" s="16" t="s">
        <v>60</v>
      </c>
    </row>
    <row r="12" customFormat="false" ht="61.5" hidden="false" customHeight="true" outlineLevel="0" collapsed="false">
      <c r="A12" s="16" t="n">
        <v>8</v>
      </c>
      <c r="B12" s="16" t="s">
        <v>61</v>
      </c>
      <c r="C12" s="16" t="n">
        <v>29</v>
      </c>
      <c r="D12" s="16" t="s">
        <v>56</v>
      </c>
      <c r="E12" s="16" t="s">
        <v>62</v>
      </c>
      <c r="F12" s="16" t="s">
        <v>63</v>
      </c>
      <c r="G12" s="16" t="s">
        <v>59</v>
      </c>
      <c r="H12" s="16" t="s">
        <v>60</v>
      </c>
    </row>
    <row r="13" customFormat="false" ht="61.5" hidden="false" customHeight="true" outlineLevel="0" collapsed="false">
      <c r="A13" s="16" t="n">
        <v>9</v>
      </c>
      <c r="B13" s="16" t="s">
        <v>64</v>
      </c>
      <c r="C13" s="16" t="n">
        <v>54</v>
      </c>
      <c r="D13" s="16" t="s">
        <v>56</v>
      </c>
      <c r="E13" s="16" t="s">
        <v>62</v>
      </c>
      <c r="F13" s="16" t="s">
        <v>65</v>
      </c>
      <c r="G13" s="16" t="s">
        <v>66</v>
      </c>
      <c r="H13" s="16" t="s">
        <v>67</v>
      </c>
    </row>
    <row r="14" customFormat="false" ht="61.5" hidden="false" customHeight="true" outlineLevel="0" collapsed="false">
      <c r="A14" s="16" t="n">
        <v>10</v>
      </c>
      <c r="B14" s="16" t="s">
        <v>68</v>
      </c>
      <c r="C14" s="16" t="n">
        <v>1</v>
      </c>
      <c r="D14" s="16" t="s">
        <v>69</v>
      </c>
      <c r="E14" s="16" t="s">
        <v>39</v>
      </c>
      <c r="F14" s="16" t="s">
        <v>70</v>
      </c>
      <c r="G14" s="16" t="s">
        <v>71</v>
      </c>
      <c r="H14" s="16" t="s">
        <v>39</v>
      </c>
    </row>
    <row r="15" customFormat="false" ht="61.5" hidden="false" customHeight="true" outlineLevel="0" collapsed="false">
      <c r="A15" s="16" t="n">
        <v>11</v>
      </c>
      <c r="B15" s="16" t="s">
        <v>72</v>
      </c>
      <c r="C15" s="16" t="n">
        <v>24</v>
      </c>
      <c r="D15" s="16" t="s">
        <v>39</v>
      </c>
      <c r="E15" s="16" t="s">
        <v>39</v>
      </c>
      <c r="F15" s="16" t="s">
        <v>73</v>
      </c>
      <c r="G15" s="16" t="s">
        <v>39</v>
      </c>
      <c r="H15" s="16" t="s">
        <v>39</v>
      </c>
    </row>
    <row r="16" customFormat="false" ht="15" hidden="false" customHeight="false" outlineLevel="0" collapsed="false">
      <c r="A16" s="8"/>
      <c r="B16" s="17" t="s">
        <v>74</v>
      </c>
      <c r="C16" s="17" t="n">
        <f aca="false">SUM(C5:C15)</f>
        <v>1157</v>
      </c>
      <c r="D16" s="8"/>
      <c r="E16" s="8"/>
      <c r="F16" s="8"/>
      <c r="G16" s="8"/>
      <c r="H16" s="8"/>
    </row>
    <row r="18" customFormat="false" ht="15" hidden="false" customHeight="false" outlineLevel="0" collapsed="false">
      <c r="B18" s="18" t="s">
        <v>75</v>
      </c>
      <c r="C18" s="19" t="n">
        <f aca="false">SUM(C5:C10)</f>
        <v>788</v>
      </c>
    </row>
    <row r="19" customFormat="false" ht="15" hidden="false" customHeight="false" outlineLevel="0" collapsed="false">
      <c r="B19" s="18" t="s">
        <v>76</v>
      </c>
      <c r="C19" s="20" t="n">
        <f aca="false">SUM(C11:C13)</f>
        <v>344</v>
      </c>
    </row>
    <row r="20" customFormat="false" ht="15" hidden="false" customHeight="false" outlineLevel="0" collapsed="false">
      <c r="B20" s="18" t="s">
        <v>8</v>
      </c>
      <c r="C20" s="21" t="n">
        <f aca="false">C18/C16</f>
        <v>0.681071737251513</v>
      </c>
    </row>
    <row r="22" customFormat="false" ht="15" hidden="false" customHeight="false" outlineLevel="0" collapsed="false">
      <c r="A22" s="22" t="s">
        <v>77</v>
      </c>
      <c r="B22" s="22"/>
      <c r="C22" s="22"/>
      <c r="D22" s="22"/>
      <c r="E22" s="22"/>
      <c r="F22" s="22"/>
      <c r="G22" s="22"/>
      <c r="H22" s="22"/>
    </row>
  </sheetData>
  <mergeCells count="1">
    <mergeCell ref="A22:H22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D40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58"/>
    <col collapsed="false" customWidth="true" hidden="false" outlineLevel="0" max="2" min="2" style="0" width="2"/>
    <col collapsed="false" customWidth="true" hidden="false" outlineLevel="0" max="3" min="3" style="0" width="16"/>
    <col collapsed="false" customWidth="true" hidden="false" outlineLevel="0" max="4" min="4" style="0" width="62"/>
  </cols>
  <sheetData>
    <row r="1" customFormat="false" ht="19.7" hidden="false" customHeight="false" outlineLevel="0" collapsed="false">
      <c r="A1" s="1" t="s">
        <v>78</v>
      </c>
    </row>
    <row r="2" customFormat="false" ht="15" hidden="false" customHeight="false" outlineLevel="0" collapsed="false">
      <c r="A2" s="2" t="s">
        <v>79</v>
      </c>
    </row>
    <row r="4" customFormat="false" ht="15" hidden="false" customHeight="false" outlineLevel="0" collapsed="false">
      <c r="A4" s="15" t="s">
        <v>80</v>
      </c>
      <c r="B4" s="15"/>
      <c r="C4" s="15" t="s">
        <v>81</v>
      </c>
      <c r="D4" s="15" t="s">
        <v>82</v>
      </c>
    </row>
    <row r="5" customFormat="false" ht="27.75" hidden="false" customHeight="true" outlineLevel="0" collapsed="false">
      <c r="A5" s="16" t="s">
        <v>83</v>
      </c>
      <c r="B5" s="8"/>
      <c r="C5" s="23" t="n">
        <v>261</v>
      </c>
      <c r="D5" s="5" t="s">
        <v>84</v>
      </c>
    </row>
    <row r="6" customFormat="false" ht="27.75" hidden="false" customHeight="true" outlineLevel="0" collapsed="false">
      <c r="A6" s="16" t="s">
        <v>85</v>
      </c>
      <c r="B6" s="8"/>
      <c r="C6" s="24" t="n">
        <v>120</v>
      </c>
      <c r="D6" s="5" t="s">
        <v>86</v>
      </c>
    </row>
    <row r="7" customFormat="false" ht="27.75" hidden="false" customHeight="true" outlineLevel="0" collapsed="false"/>
    <row r="8" customFormat="false" ht="27.75" hidden="false" customHeight="true" outlineLevel="0" collapsed="false">
      <c r="A8" s="20" t="s">
        <v>87</v>
      </c>
    </row>
    <row r="9" customFormat="false" ht="27.75" hidden="false" customHeight="true" outlineLevel="0" collapsed="false">
      <c r="A9" s="16" t="s">
        <v>88</v>
      </c>
      <c r="B9" s="8"/>
      <c r="C9" s="25" t="n">
        <v>1</v>
      </c>
      <c r="D9" s="5" t="s">
        <v>89</v>
      </c>
    </row>
    <row r="10" customFormat="false" ht="27.75" hidden="false" customHeight="true" outlineLevel="0" collapsed="false">
      <c r="A10" s="16" t="s">
        <v>90</v>
      </c>
      <c r="B10" s="8"/>
      <c r="C10" s="25" t="n">
        <v>5</v>
      </c>
      <c r="D10" s="5" t="s">
        <v>89</v>
      </c>
    </row>
    <row r="11" customFormat="false" ht="27.75" hidden="false" customHeight="true" outlineLevel="0" collapsed="false">
      <c r="A11" s="16" t="s">
        <v>91</v>
      </c>
      <c r="B11" s="8"/>
      <c r="C11" s="26" t="n">
        <v>0.006</v>
      </c>
      <c r="D11" s="5" t="s">
        <v>92</v>
      </c>
    </row>
    <row r="12" customFormat="false" ht="27.75" hidden="false" customHeight="true" outlineLevel="0" collapsed="false"/>
    <row r="13" customFormat="false" ht="27.75" hidden="false" customHeight="true" outlineLevel="0" collapsed="false">
      <c r="A13" s="20" t="s">
        <v>93</v>
      </c>
    </row>
    <row r="14" customFormat="false" ht="27.75" hidden="false" customHeight="true" outlineLevel="0" collapsed="false">
      <c r="A14" s="16" t="s">
        <v>94</v>
      </c>
      <c r="B14" s="8"/>
      <c r="C14" s="27" t="n">
        <v>12000</v>
      </c>
      <c r="D14" s="5" t="s">
        <v>95</v>
      </c>
    </row>
    <row r="15" customFormat="false" ht="27.75" hidden="false" customHeight="true" outlineLevel="0" collapsed="false">
      <c r="A15" s="16" t="s">
        <v>96</v>
      </c>
      <c r="B15" s="8"/>
      <c r="C15" s="27" t="n">
        <v>2500</v>
      </c>
      <c r="D15" s="5" t="s">
        <v>97</v>
      </c>
    </row>
    <row r="16" customFormat="false" ht="27.75" hidden="false" customHeight="true" outlineLevel="0" collapsed="false">
      <c r="A16" s="16" t="s">
        <v>98</v>
      </c>
      <c r="B16" s="8"/>
      <c r="C16" s="28" t="n">
        <v>0.3</v>
      </c>
      <c r="D16" s="5" t="s">
        <v>99</v>
      </c>
    </row>
    <row r="17" customFormat="false" ht="27.75" hidden="false" customHeight="true" outlineLevel="0" collapsed="false">
      <c r="A17" s="16" t="s">
        <v>100</v>
      </c>
      <c r="B17" s="8"/>
      <c r="C17" s="29" t="n">
        <v>1.5</v>
      </c>
      <c r="D17" s="5" t="s">
        <v>101</v>
      </c>
    </row>
    <row r="18" customFormat="false" ht="27.75" hidden="false" customHeight="true" outlineLevel="0" collapsed="false">
      <c r="A18" s="16" t="s">
        <v>102</v>
      </c>
      <c r="B18" s="8"/>
      <c r="C18" s="30" t="n">
        <v>0.4</v>
      </c>
      <c r="D18" s="5" t="s">
        <v>103</v>
      </c>
    </row>
    <row r="19" customFormat="false" ht="27.75" hidden="false" customHeight="true" outlineLevel="0" collapsed="false">
      <c r="A19" s="16" t="s">
        <v>104</v>
      </c>
      <c r="B19" s="8"/>
      <c r="C19" s="31" t="n">
        <v>2</v>
      </c>
      <c r="D19" s="8"/>
    </row>
    <row r="20" customFormat="false" ht="27.75" hidden="false" customHeight="true" outlineLevel="0" collapsed="false">
      <c r="A20" s="16" t="s">
        <v>105</v>
      </c>
      <c r="B20" s="8"/>
      <c r="C20" s="32" t="n">
        <v>6</v>
      </c>
      <c r="D20" s="8"/>
    </row>
    <row r="21" customFormat="false" ht="27.75" hidden="false" customHeight="true" outlineLevel="0" collapsed="false">
      <c r="A21" s="16" t="s">
        <v>106</v>
      </c>
      <c r="B21" s="8"/>
      <c r="C21" s="23" t="n">
        <v>1600</v>
      </c>
      <c r="D21" s="8"/>
    </row>
    <row r="22" customFormat="false" ht="27.75" hidden="false" customHeight="true" outlineLevel="0" collapsed="false">
      <c r="A22" s="16" t="s">
        <v>107</v>
      </c>
      <c r="B22" s="8"/>
      <c r="C22" s="31" t="n">
        <v>84</v>
      </c>
      <c r="D22" s="5" t="s">
        <v>108</v>
      </c>
    </row>
    <row r="23" customFormat="false" ht="27.75" hidden="false" customHeight="true" outlineLevel="0" collapsed="false"/>
    <row r="24" customFormat="false" ht="27.75" hidden="false" customHeight="true" outlineLevel="0" collapsed="false">
      <c r="A24" s="20" t="s">
        <v>109</v>
      </c>
    </row>
    <row r="25" customFormat="false" ht="27.75" hidden="false" customHeight="true" outlineLevel="0" collapsed="false">
      <c r="A25" s="16" t="s">
        <v>110</v>
      </c>
      <c r="B25" s="8"/>
      <c r="C25" s="33" t="n">
        <f aca="false">(C14*C9+C15*C10)/1000000*(1+C16*(C17-1))</f>
        <v>0.028175</v>
      </c>
      <c r="D25" s="5" t="s">
        <v>111</v>
      </c>
    </row>
    <row r="26" customFormat="false" ht="27.75" hidden="false" customHeight="true" outlineLevel="0" collapsed="false">
      <c r="A26" s="16" t="s">
        <v>112</v>
      </c>
      <c r="B26" s="8"/>
      <c r="C26" s="33" t="n">
        <f aca="false">C19*C11+(C20*C21*C9)/1000000</f>
        <v>0.0216</v>
      </c>
      <c r="D26" s="5" t="s">
        <v>113</v>
      </c>
    </row>
    <row r="27" customFormat="false" ht="27.75" hidden="false" customHeight="true" outlineLevel="0" collapsed="false">
      <c r="A27" s="16" t="s">
        <v>114</v>
      </c>
      <c r="B27" s="8"/>
      <c r="C27" s="33" t="n">
        <f aca="false">C25</f>
        <v>0.028175</v>
      </c>
      <c r="D27" s="8"/>
    </row>
    <row r="28" customFormat="false" ht="27.75" hidden="false" customHeight="true" outlineLevel="0" collapsed="false">
      <c r="A28" s="16" t="s">
        <v>115</v>
      </c>
      <c r="B28" s="8"/>
      <c r="C28" s="33" t="n">
        <f aca="false">C25+C26</f>
        <v>0.049775</v>
      </c>
      <c r="D28" s="8"/>
    </row>
    <row r="29" customFormat="false" ht="27.75" hidden="false" customHeight="true" outlineLevel="0" collapsed="false">
      <c r="A29" s="16" t="s">
        <v>116</v>
      </c>
      <c r="B29" s="8"/>
      <c r="C29" s="33" t="n">
        <f aca="false">(1-C18)*C27+C18*C28</f>
        <v>0.036815</v>
      </c>
      <c r="D29" s="5" t="s">
        <v>117</v>
      </c>
    </row>
    <row r="30" customFormat="false" ht="27.75" hidden="false" customHeight="true" outlineLevel="0" collapsed="false">
      <c r="A30" s="16"/>
      <c r="B30" s="8"/>
      <c r="C30" s="34"/>
      <c r="D30" s="8"/>
    </row>
    <row r="31" customFormat="false" ht="27.75" hidden="false" customHeight="true" outlineLevel="0" collapsed="false">
      <c r="A31" s="3" t="s">
        <v>118</v>
      </c>
      <c r="B31" s="8"/>
      <c r="C31" s="35" t="n">
        <f aca="false">C5*C29</f>
        <v>9.608715</v>
      </c>
      <c r="D31" s="8"/>
    </row>
    <row r="32" customFormat="false" ht="27.75" hidden="false" customHeight="true" outlineLevel="0" collapsed="false">
      <c r="A32" s="3" t="s">
        <v>119</v>
      </c>
      <c r="B32" s="8"/>
      <c r="C32" s="36" t="n">
        <f aca="false">C31*C22</f>
        <v>807.13206</v>
      </c>
      <c r="D32" s="8"/>
    </row>
    <row r="33" customFormat="false" ht="27.75" hidden="false" customHeight="true" outlineLevel="0" collapsed="false">
      <c r="A33" s="16" t="s">
        <v>120</v>
      </c>
      <c r="B33" s="8"/>
      <c r="C33" s="37" t="n">
        <f aca="false">IF(C6=0,0,C31/C6)</f>
        <v>0.080072625</v>
      </c>
      <c r="D33" s="5" t="s">
        <v>121</v>
      </c>
    </row>
    <row r="34" customFormat="false" ht="27.75" hidden="false" customHeight="true" outlineLevel="0" collapsed="false">
      <c r="A34" s="16" t="s">
        <v>122</v>
      </c>
      <c r="B34" s="8"/>
      <c r="C34" s="38" t="n">
        <f aca="false">C31*2</f>
        <v>19.21743</v>
      </c>
      <c r="D34" s="5" t="s">
        <v>123</v>
      </c>
    </row>
    <row r="36" customFormat="false" ht="15" hidden="false" customHeight="false" outlineLevel="0" collapsed="false">
      <c r="A36" s="20" t="s">
        <v>124</v>
      </c>
    </row>
    <row r="37" customFormat="false" ht="15" hidden="false" customHeight="false" outlineLevel="0" collapsed="false">
      <c r="A37" s="39" t="s">
        <v>125</v>
      </c>
      <c r="B37" s="39"/>
      <c r="C37" s="39"/>
      <c r="D37" s="39"/>
    </row>
    <row r="38" customFormat="false" ht="15" hidden="false" customHeight="false" outlineLevel="0" collapsed="false">
      <c r="A38" s="39" t="s">
        <v>126</v>
      </c>
      <c r="B38" s="39"/>
      <c r="C38" s="39"/>
      <c r="D38" s="39"/>
    </row>
    <row r="39" customFormat="false" ht="15" hidden="false" customHeight="false" outlineLevel="0" collapsed="false">
      <c r="A39" s="39" t="s">
        <v>127</v>
      </c>
      <c r="B39" s="39"/>
      <c r="C39" s="39"/>
      <c r="D39" s="39"/>
    </row>
    <row r="40" customFormat="false" ht="15" hidden="false" customHeight="false" outlineLevel="0" collapsed="false">
      <c r="A40" s="39" t="s">
        <v>128</v>
      </c>
      <c r="B40" s="39"/>
      <c r="C40" s="39"/>
      <c r="D40" s="39"/>
    </row>
  </sheetData>
  <mergeCells count="4">
    <mergeCell ref="A37:D37"/>
    <mergeCell ref="A38:D38"/>
    <mergeCell ref="A39:D39"/>
    <mergeCell ref="A40:D40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F14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4" topLeftCell="A5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4"/>
    <col collapsed="false" customWidth="true" hidden="false" outlineLevel="0" max="2" min="2" style="0" width="58"/>
    <col collapsed="false" customWidth="true" hidden="false" outlineLevel="0" max="3" min="3" style="0" width="62"/>
    <col collapsed="false" customWidth="true" hidden="false" outlineLevel="0" max="4" min="4" style="0" width="12"/>
    <col collapsed="false" customWidth="true" hidden="false" outlineLevel="0" max="5" min="5" style="0" width="14"/>
    <col collapsed="false" customWidth="true" hidden="false" outlineLevel="0" max="6" min="6" style="0" width="22"/>
  </cols>
  <sheetData>
    <row r="1" customFormat="false" ht="19.7" hidden="false" customHeight="false" outlineLevel="0" collapsed="false">
      <c r="A1" s="1" t="s">
        <v>129</v>
      </c>
    </row>
    <row r="2" customFormat="false" ht="15" hidden="false" customHeight="false" outlineLevel="0" collapsed="false">
      <c r="A2" s="2" t="s">
        <v>130</v>
      </c>
    </row>
    <row r="4" customFormat="false" ht="15" hidden="false" customHeight="false" outlineLevel="0" collapsed="false">
      <c r="A4" s="15" t="s">
        <v>22</v>
      </c>
      <c r="B4" s="15" t="s">
        <v>131</v>
      </c>
      <c r="C4" s="15" t="s">
        <v>132</v>
      </c>
      <c r="D4" s="15" t="s">
        <v>133</v>
      </c>
      <c r="E4" s="15" t="s">
        <v>134</v>
      </c>
      <c r="F4" s="15" t="s">
        <v>28</v>
      </c>
    </row>
    <row r="5" customFormat="false" ht="49.5" hidden="false" customHeight="true" outlineLevel="0" collapsed="false">
      <c r="A5" s="16" t="n">
        <v>1</v>
      </c>
      <c r="B5" s="16" t="s">
        <v>135</v>
      </c>
      <c r="C5" s="16" t="s">
        <v>136</v>
      </c>
      <c r="D5" s="16" t="s">
        <v>137</v>
      </c>
      <c r="E5" s="16" t="s">
        <v>39</v>
      </c>
      <c r="F5" s="16" t="s">
        <v>138</v>
      </c>
    </row>
    <row r="6" customFormat="false" ht="49.5" hidden="false" customHeight="true" outlineLevel="0" collapsed="false">
      <c r="A6" s="16" t="n">
        <v>2</v>
      </c>
      <c r="B6" s="16" t="s">
        <v>139</v>
      </c>
      <c r="C6" s="16" t="s">
        <v>140</v>
      </c>
      <c r="D6" s="16" t="s">
        <v>137</v>
      </c>
      <c r="E6" s="16" t="s">
        <v>39</v>
      </c>
      <c r="F6" s="16" t="s">
        <v>141</v>
      </c>
    </row>
    <row r="7" customFormat="false" ht="49.5" hidden="false" customHeight="true" outlineLevel="0" collapsed="false">
      <c r="A7" s="16" t="n">
        <v>3</v>
      </c>
      <c r="B7" s="16" t="s">
        <v>142</v>
      </c>
      <c r="C7" s="16" t="s">
        <v>143</v>
      </c>
      <c r="D7" s="16" t="s">
        <v>144</v>
      </c>
      <c r="E7" s="16" t="s">
        <v>39</v>
      </c>
      <c r="F7" s="16" t="s">
        <v>145</v>
      </c>
    </row>
    <row r="8" customFormat="false" ht="49.5" hidden="false" customHeight="true" outlineLevel="0" collapsed="false">
      <c r="A8" s="16" t="n">
        <v>4</v>
      </c>
      <c r="B8" s="16" t="s">
        <v>146</v>
      </c>
      <c r="C8" s="16" t="s">
        <v>147</v>
      </c>
      <c r="D8" s="16" t="s">
        <v>137</v>
      </c>
      <c r="E8" s="16" t="s">
        <v>148</v>
      </c>
      <c r="F8" s="16" t="s">
        <v>149</v>
      </c>
    </row>
    <row r="9" customFormat="false" ht="49.5" hidden="false" customHeight="true" outlineLevel="0" collapsed="false">
      <c r="A9" s="16" t="n">
        <v>5</v>
      </c>
      <c r="B9" s="16" t="s">
        <v>150</v>
      </c>
      <c r="C9" s="16" t="s">
        <v>151</v>
      </c>
      <c r="D9" s="16" t="s">
        <v>144</v>
      </c>
      <c r="E9" s="16" t="s">
        <v>152</v>
      </c>
      <c r="F9" s="16" t="s">
        <v>153</v>
      </c>
    </row>
    <row r="10" customFormat="false" ht="49.5" hidden="false" customHeight="true" outlineLevel="0" collapsed="false">
      <c r="A10" s="16" t="n">
        <v>6</v>
      </c>
      <c r="B10" s="16" t="s">
        <v>154</v>
      </c>
      <c r="C10" s="16" t="s">
        <v>155</v>
      </c>
      <c r="D10" s="16" t="s">
        <v>137</v>
      </c>
      <c r="E10" s="16" t="s">
        <v>156</v>
      </c>
      <c r="F10" s="16" t="s">
        <v>149</v>
      </c>
    </row>
    <row r="11" customFormat="false" ht="49.5" hidden="false" customHeight="true" outlineLevel="0" collapsed="false">
      <c r="A11" s="16" t="n">
        <v>7</v>
      </c>
      <c r="B11" s="16" t="s">
        <v>157</v>
      </c>
      <c r="C11" s="16" t="s">
        <v>158</v>
      </c>
      <c r="D11" s="16" t="s">
        <v>137</v>
      </c>
      <c r="E11" s="16" t="s">
        <v>159</v>
      </c>
      <c r="F11" s="16" t="s">
        <v>149</v>
      </c>
    </row>
    <row r="12" customFormat="false" ht="49.5" hidden="false" customHeight="true" outlineLevel="0" collapsed="false">
      <c r="A12" s="16" t="n">
        <v>8</v>
      </c>
      <c r="B12" s="16" t="s">
        <v>160</v>
      </c>
      <c r="C12" s="16" t="s">
        <v>161</v>
      </c>
      <c r="D12" s="16" t="s">
        <v>137</v>
      </c>
      <c r="E12" s="16" t="s">
        <v>162</v>
      </c>
      <c r="F12" s="16" t="s">
        <v>163</v>
      </c>
    </row>
    <row r="13" customFormat="false" ht="49.5" hidden="false" customHeight="true" outlineLevel="0" collapsed="false">
      <c r="A13" s="16" t="n">
        <v>9</v>
      </c>
      <c r="B13" s="16" t="s">
        <v>164</v>
      </c>
      <c r="C13" s="16" t="s">
        <v>165</v>
      </c>
      <c r="D13" s="16" t="s">
        <v>137</v>
      </c>
      <c r="E13" s="16" t="s">
        <v>39</v>
      </c>
      <c r="F13" s="16" t="s">
        <v>166</v>
      </c>
    </row>
    <row r="14" customFormat="false" ht="49.5" hidden="false" customHeight="true" outlineLevel="0" collapsed="false">
      <c r="A14" s="16" t="n">
        <v>10</v>
      </c>
      <c r="B14" s="16" t="s">
        <v>167</v>
      </c>
      <c r="C14" s="16" t="s">
        <v>168</v>
      </c>
      <c r="D14" s="16" t="s">
        <v>137</v>
      </c>
      <c r="E14" s="16" t="s">
        <v>39</v>
      </c>
      <c r="F14" s="16" t="s">
        <v>166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2026-09-03T11:59:18Z</dcterms:created>
  <dc:creator>openpyxl</dc:creator>
  <dc:description/>
  <dc:language>en-US</dc:language>
  <cp:lastModifiedBy/>
  <dcterms:modified xsi:type="dcterms:W3CDTF">2026-09-03T11:59:18Z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