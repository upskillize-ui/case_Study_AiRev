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oot Causes" sheetId="2" state="visible" r:id="rId4"/>
    <sheet name="Incident Timeline" sheetId="3" state="visible" r:id="rId5"/>
    <sheet name="Current State" sheetId="4" state="visible" r:id="rId6"/>
    <sheet name="The Fix" sheetId="5" state="visible" r:id="rId7"/>
    <sheet name="Verification SQ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<sst xmlns="http://schemas.openxmlformats.org/spreadsheetml/2006/main" count="128" uniqueCount="124">
  <si>
    <t xml:space="preserve">Duplicate Submissions — Full Report</t>
  </si>
  <si>
    <t xml:space="preserve">Upskillize LMS + AiRev (Agent@4) · compiled 18 Aug 2026 · every figure sourced from live logs, DB audits, or code</t>
  </si>
  <si>
    <t xml:space="preserve">What</t>
  </si>
  <si>
    <t xml:space="preserve">Detail</t>
  </si>
  <si>
    <t xml:space="preserve">The problem, in one line</t>
  </si>
  <si>
    <t xml:space="preserve">Three separate mechanisms create (or crash on) duplicate submission rows: a race in the LMS submit route, AiRev's per-review INSERT path used for bulk work, and a pre-fix bulk tool that routed regrades through the student path.</t>
  </si>
  <si>
    <t xml:space="preserve">Who it hurts today</t>
  </si>
  <si>
    <t xml:space="preserve">Students: HTTP 500 'Duplicate entry' when resubmitting (seen hourly in the Space/LMS logs, e.g. assignment 24, student 689 on 18 Aug). Their upload finishes, then the save fails.</t>
  </si>
  <si>
    <t xml:space="preserve">Who it hurt historically</t>
  </si>
  <si>
    <t xml:space="preserve">Assignment 14: 49 students became 95 rows during the 13-14 Aug bulk run — every extra row inflated attempt counts and doubled review cost. Root cause fixed 16 Aug; audit on 18 Aug shows 49 rows / 49 students again.</t>
  </si>
  <si>
    <t xml:space="preserve">Current duplicate count (per 18 Aug DB audit)</t>
  </si>
  <si>
    <t xml:space="preserve">0 visible duplicates: every assignment shows submissions == students (see 'Current State' sheet). The CRASH remains live because the race in student.js is unfixed.</t>
  </si>
  <si>
    <t xml:space="preserve">The fix (pending, ~15 lines)</t>
  </si>
  <si>
    <t xml:space="preserve">In backend/routes/student.js: replace SELECT-then-INSERT with INSERT ... ON DUPLICATE KEY UPDATE, and catch MySQL errno 1062 as retry-as-update. Requires the unique index on (assignment_id, student_id) that production evidently already has. No scoring impact.</t>
  </si>
  <si>
    <t xml:space="preserve">Status</t>
  </si>
  <si>
    <t xml:space="preserve">NOT SHIPPED. Ranked first in the pending list. Verification SQL included on the last sheet.</t>
  </si>
  <si>
    <t xml:space="preserve">The three mechanisms</t>
  </si>
  <si>
    <t xml:space="preserve">#</t>
  </si>
  <si>
    <t xml:space="preserve">Where</t>
  </si>
  <si>
    <t xml:space="preserve">Mechanism</t>
  </si>
  <si>
    <t xml:space="preserve">Symptom</t>
  </si>
  <si>
    <t xml:space="preserve">Evidence (session-verified)</t>
  </si>
  <si>
    <t xml:space="preserve">LMS — backend/routes/student.js, POST /assignments/:id/submit</t>
  </si>
  <si>
    <t xml:space="preserve">SELECT-then-INSERT race (TOCTOU). The route SELECTs for an existing row, then INSERTs if none. Two rapid clicks / a network retry both pass the SELECT; the second INSERT hits the unique index.</t>
  </si>
  <si>
    <t xml:space="preserve">HTTP 500 'ER_DUP_ENTRY 1062' returned to the student AFTER their file uploaded.</t>
  </si>
  <si>
    <t xml:space="preserve">Live Space/LMS log 18 Aug 06:02 — '1062 Duplicate entry' on resubmit, assignment 24, student 689. Reported recurring hourly. Code read directly: student.js lines ~2287-2330.</t>
  </si>
  <si>
    <t xml:space="preserve">OPEN — fix designed, not shipped</t>
  </si>
  <si>
    <t xml:space="preserve">AiRev — POST /api/review/submit-assignment</t>
  </si>
  <si>
    <t xml:space="preserve">The student submit path INSERTs a NEW row per call (correct for attempt history). The 13-14 Aug bulk correction run drove regrades through THIS path, so every re-review inserted a fresh row.</t>
  </si>
  <si>
    <t xml:space="preserve">Row multiplication: one student, many submission rows; attempt counts inflated; wrong grade left in history beside the right one.</t>
  </si>
  <si>
    <t xml:space="preserve">Assignment 14 went 49 rows -&gt; 95 rows (observed in bulk_review output 16 Aug). </t>
  </si>
  <si>
    <t xml:space="preserve">FIXED 16 Aug — bulk work now uses /re-review/assignment/{id}, which UPDATEs in place and never INSERTs</t>
  </si>
  <si>
    <t xml:space="preserve">Agent@4 tools — bulk_review.py (pre-fix)</t>
  </si>
  <si>
    <t xml:space="preserve">--redo initially selected only graded rows and, in one earlier form, targeted the student submit endpoint; combined with mechanism 2 this is what multiplied assignment 14.</t>
  </si>
  <si>
    <t xml:space="preserve">Same as #2 — silent row growth during correction runs.</t>
  </si>
  <si>
    <t xml:space="preserve">Commit 90b8ca4 'fix: --redo now covers every row, so re-scoring stops creating duplicate submissions' + regrade endpoint (commit series 16 Aug).</t>
  </si>
  <si>
    <t xml:space="preserve">FIXED 16 Aug — mutation-tested; queue service (unshipped) also UPDATE-only by design</t>
  </si>
  <si>
    <t xml:space="preserve">How the duplicates happened and were caught</t>
  </si>
  <si>
    <t xml:space="preserve">Date (2026)</t>
  </si>
  <si>
    <t xml:space="preserve">Event</t>
  </si>
  <si>
    <t xml:space="preserve">Rows affected</t>
  </si>
  <si>
    <t xml:space="preserve">Source</t>
  </si>
  <si>
    <t xml:space="preserve">12 Aug</t>
  </si>
  <si>
    <t xml:space="preserve">Bulk correction runs begin with default --limit 10; rows stranded, reruns repeated</t>
  </si>
  <si>
    <t xml:space="preserve">unknown</t>
  </si>
  <si>
    <t xml:space="preserve">run history</t>
  </si>
  <si>
    <t xml:space="preserve">13-14 Aug</t>
  </si>
  <si>
    <t xml:space="preserve">Bulk regrades driven through the student submit path (INSERT per review)</t>
  </si>
  <si>
    <t xml:space="preserve">assignment 14: 49 -&gt; 95</t>
  </si>
  <si>
    <t xml:space="preserve">bulk_review output</t>
  </si>
  <si>
    <t xml:space="preserve">16 Aug</t>
  </si>
  <si>
    <t xml:space="preserve">Root cause identified; --redo rewritten to re-score IN PLACE via the staff regrade endpoint</t>
  </si>
  <si>
    <t xml:space="preserve">0 new duplicates after</t>
  </si>
  <si>
    <t xml:space="preserve">commit 90b8ca4 + regrade route</t>
  </si>
  <si>
    <t xml:space="preserve">dedupe_submissions.py written (dry-run-first) to collapse the existing extras</t>
  </si>
  <si>
    <t xml:space="preserve">tool ready</t>
  </si>
  <si>
    <t xml:space="preserve">commit 947df77</t>
  </si>
  <si>
    <t xml:space="preserve">17 Aug</t>
  </si>
  <si>
    <t xml:space="preserve">Assignment 23 listing shows 189-194 rows; audit later shows 194 rows / 194 students — the '86 students' confusion was two batches (junior/senior) sharing one title, NOT duplicates</t>
  </si>
  <si>
    <t xml:space="preserve">0</t>
  </si>
  <si>
    <t xml:space="preserve">audit_reviews per-item table</t>
  </si>
  <si>
    <t xml:space="preserve">18 Aug</t>
  </si>
  <si>
    <t xml:space="preserve">DB audit: every assignment shows submissions == students. Historic extras on 14 no longer visible (49/49)</t>
  </si>
  <si>
    <t xml:space="preserve">0 visible</t>
  </si>
  <si>
    <t xml:space="preserve">audit_reviews, run by Ranjana</t>
  </si>
  <si>
    <t xml:space="preserve">1062 crash still firing on student resubmits (assignment 24, student 689)</t>
  </si>
  <si>
    <t xml:space="preserve">n/a — crash, not rows</t>
  </si>
  <si>
    <t xml:space="preserve">Space startup log</t>
  </si>
  <si>
    <t xml:space="preserve">Per-assignment duplicate check — DB audit of 18 Aug 2026</t>
  </si>
  <si>
    <t xml:space="preserve">Source: tools/audit_reviews.py --type assignment, run against the live lms DB. Dup rows = Submissions - Students (formula).</t>
  </si>
  <si>
    <t xml:space="preserve">Assignment ID</t>
  </si>
  <si>
    <t xml:space="preserve">Title</t>
  </si>
  <si>
    <t xml:space="preserve">Submissions</t>
  </si>
  <si>
    <t xml:space="preserve">Students</t>
  </si>
  <si>
    <t xml:space="preserve">Dup rows</t>
  </si>
  <si>
    <t xml:space="preserve">Verdict</t>
  </si>
  <si>
    <t xml:space="preserve">Understanding Banking Products &amp; Digital</t>
  </si>
  <si>
    <t xml:space="preserve">Explain the role of the Reserve Bank</t>
  </si>
  <si>
    <t xml:space="preserve">Design a Customer Rating Metric for SME</t>
  </si>
  <si>
    <t xml:space="preserve">Claude AI in Financial Services</t>
  </si>
  <si>
    <t xml:space="preserve">KYC &amp; Customer Onboarding</t>
  </si>
  <si>
    <t xml:space="preserve">CASA Ratio Analysis</t>
  </si>
  <si>
    <t xml:space="preserve">NPA Classification &amp; Provisioning</t>
  </si>
  <si>
    <t xml:space="preserve">UPI Transaction Flow</t>
  </si>
  <si>
    <t xml:space="preserve">Credit Card MDR &amp; Interchange</t>
  </si>
  <si>
    <t xml:space="preserve">Day 01: ChatGpt AI Agent Assignment</t>
  </si>
  <si>
    <t xml:space="preserve">Day 01: ChatGpt — Yourself in 5 years</t>
  </si>
  <si>
    <t xml:space="preserve">Day 02: Claude — Artifact Creation</t>
  </si>
  <si>
    <t xml:space="preserve">Day 03: Perplexity &amp; Grok — India's Fi</t>
  </si>
  <si>
    <t xml:space="preserve">Day 03: Perplexity &amp; Grok — AI Transfo</t>
  </si>
  <si>
    <t xml:space="preserve">Day 04: Notion — 30 Days 30 AI</t>
  </si>
  <si>
    <t xml:space="preserve">Day 05: Gemini Notebook — Studio</t>
  </si>
  <si>
    <t xml:space="preserve">Day 06: Suno — Create a song</t>
  </si>
  <si>
    <t xml:space="preserve">Day 07: Gemini Canvas</t>
  </si>
  <si>
    <t xml:space="preserve">Day 08: Lovable</t>
  </si>
  <si>
    <t xml:space="preserve">TOTAL</t>
  </si>
  <si>
    <t xml:space="preserve">Note: assignment 14 previously held 95 rows for these 49 students (13-14 Aug). The 18 Aug audit shows 49/49. Dup-rows column is a live formula — paste fresh audit numbers into C/D and it re-verdicts. Assignments 19/20 and the two Day 01 tasks share titles because of the junior/senior batches — different tasks, NOT duplicates.</t>
  </si>
  <si>
    <t xml:space="preserve">What ships, exactly</t>
  </si>
  <si>
    <t xml:space="preserve">Step</t>
  </si>
  <si>
    <t xml:space="preserve">1. Confirm the unique index exists</t>
  </si>
  <si>
    <t xml:space="preserve">The live 1062 proves production has one, but confirm name and columns first (SQL on next sheet). If it were somehow missing: CREATE UNIQUE INDEX uq_assignment_student ON assignment_submissions (assignment_id, student_id); — run AFTER dedupe confirms zero duplicate pairs, or the index creation itself fails.</t>
  </si>
  <si>
    <t xml:space="preserve">2. Replace SELECT-then-INSERT with an upsert</t>
  </si>
  <si>
    <t xml:space="preserve">In student.js submit handler, keep the graded/reviewed lock and due-date lock exactly as they are (they read the existing row and must stay). Replace the INSERT branch with: INSERT INTO assignment_submissions (assignment_id, student_id, notes, file_name, file_path, shared_with_community, status, submitted_at) VALUES (?,?,?,?,?,?, 'submitted', NOW()) ON DUPLICATE KEY UPDATE notes=VALUES(notes), file_name=VALUES(file_name), file_path=VALUES(file_path), shared_with_community=VALUES(shared_with_community), status='submitted', submitted_at=NOW(), grade=NULL, feedback=NULL</t>
  </si>
  <si>
    <t xml:space="preserve">3. Belt-and-braces: catch 1062</t>
  </si>
  <si>
    <t xml:space="preserve">Wrap the write; if e.original?.errno === 1062, re-run the UPDATE branch instead of returning 500. This covers the case where the lock-check SELECT and the upsert still interleave with a concurrent request.</t>
  </si>
  <si>
    <t xml:space="preserve">4. Same treatment for case_study_submissions</t>
  </si>
  <si>
    <t xml:space="preserve">Identical race exists in the case-study submit handler (student.js ~line 4495).</t>
  </si>
  <si>
    <t xml:space="preserve">5. Test before ship (your rule)</t>
  </si>
  <si>
    <t xml:space="preserve">Unit: simulate two concurrent submits against a stub — assert one row, no throw. Manual: double-click submit rapidly on staging; confirm 200 + single row. Then deploy backend, watch the log for 1062 going quiet.</t>
  </si>
  <si>
    <t xml:space="preserve">What must NOT change</t>
  </si>
  <si>
    <t xml:space="preserve">The graded/reviewed lock (reviewed work can never be replaced), the due-date lock, and the wipe of grade/feedback on legitimate resubmit — all deliberate, all preserved by the upsert above.</t>
  </si>
  <si>
    <t xml:space="preserve">Run these in MySQL Workbench — all read-only except the last</t>
  </si>
  <si>
    <t xml:space="preserve">Purpose</t>
  </si>
  <si>
    <t xml:space="preserve">SQL</t>
  </si>
  <si>
    <t xml:space="preserve">Find any duplicate pairs right now</t>
  </si>
  <si>
    <t xml:space="preserve">SELECT assignment_id, student_id, COUNT(*) AS rows_held
FROM assignment_submissions
GROUP BY assignment_id, student_id
HAVING COUNT(*) &gt; 1
ORDER BY rows_held DESC;</t>
  </si>
  <si>
    <t xml:space="preserve">Confirm the unique index the 1062 implies</t>
  </si>
  <si>
    <t xml:space="preserve">SELECT INDEX_NAME, COLUMN_NAME, NON_UNIQUE
FROM information_schema.STATISTICS
WHERE TABLE_SCHEMA = DATABASE()
  AND TABLE_NAME = 'assignment_submissions';</t>
  </si>
  <si>
    <t xml:space="preserve">Same check for case studies</t>
  </si>
  <si>
    <t xml:space="preserve">SELECT case_study_id, student_id, COUNT(*) AS rows_held
FROM case_study_submissions
GROUP BY case_study_id, student_id
HAVING COUNT(*) &gt; 1;</t>
  </si>
  <si>
    <t xml:space="preserve">See recent resubmit crashes' victims (who to reassure)</t>
  </si>
  <si>
    <t xml:space="preserve">SELECT assignment_id, student_id, status, submitted_at
FROM assignment_submissions
WHERE submitted_at &gt;= NOW() - INTERVAL 2 DAY
ORDER BY submitted_at DESC LIMIT 50;</t>
  </si>
  <si>
    <t xml:space="preserve">ONLY if duplicates exist (dry-run first — the tool does this safely)</t>
  </si>
  <si>
    <t xml:space="preserve">Use the tool, not raw SQL:  python tools\dedupe_submissions.py --assignment-id &lt;id&gt;
then re-run with --run after reading its report. It backs up before touching anything.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</si>
</sst>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628"/>
      <name val="Arial"/>
      <family val="0"/>
      <charset val="1"/>
    </font>
    <font>
      <i val="true"/>
      <sz val="9"/>
      <color rgb="FF5C63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1628"/>
      <name val="Arial"/>
      <family val="0"/>
      <charset val="1"/>
    </font>
    <font>
      <sz val="10"/>
      <color rgb="FF0B1628"/>
      <name val="Arial"/>
      <family val="0"/>
      <charset val="1"/>
    </font>
    <font>
      <sz val="9"/>
      <name val="Courier Ne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628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E"/>
      </left>
      <right style="thin">
        <color rgb="FFE5E7EE"/>
      </right>
      <top style="thin">
        <color rgb="FFE5E7EE"/>
      </top>
      <bottom style="thin">
        <color rgb="FFE5E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376"/>
      <rgbColor rgb="FF969696"/>
      <rgbColor rgb="FF003366"/>
      <rgbColor rgb="FF339966"/>
      <rgbColor rgb="FF0B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45.75" hidden="false" customHeight="true" outlineLevel="0" collapsed="false">
      <c r="A5" s="4" t="s">
        <v>4</v>
      </c>
      <c r="B5" s="5" t="s">
        <v>5</v>
      </c>
    </row>
    <row r="6" customFormat="false" ht="45.75" hidden="false" customHeight="true" outlineLevel="0" collapsed="false">
      <c r="A6" s="4" t="s">
        <v>6</v>
      </c>
      <c r="B6" s="5" t="s">
        <v>7</v>
      </c>
    </row>
    <row r="7" customFormat="false" ht="45.75" hidden="false" customHeight="true" outlineLevel="0" collapsed="false">
      <c r="A7" s="4" t="s">
        <v>8</v>
      </c>
      <c r="B7" s="5" t="s">
        <v>9</v>
      </c>
    </row>
    <row r="8" customFormat="false" ht="45.75" hidden="false" customHeight="true" outlineLevel="0" collapsed="false">
      <c r="A8" s="4" t="s">
        <v>10</v>
      </c>
      <c r="B8" s="5" t="s">
        <v>11</v>
      </c>
    </row>
    <row r="9" customFormat="false" ht="45.75" hidden="false" customHeight="true" outlineLevel="0" collapsed="false">
      <c r="A9" s="4" t="s">
        <v>12</v>
      </c>
      <c r="B9" s="5" t="s">
        <v>13</v>
      </c>
    </row>
    <row r="10" customFormat="false" ht="45.75" hidden="false" customHeight="true" outlineLevel="0" collapsed="false">
      <c r="A10" s="4" t="s">
        <v>14</v>
      </c>
      <c r="B1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16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14</v>
      </c>
    </row>
    <row r="5" customFormat="false" ht="87.75" hidden="false" customHeight="true" outlineLevel="0" collapsed="false">
      <c r="A5" s="5" t="n">
        <v>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</row>
    <row r="6" customFormat="false" ht="87.75" hidden="false" customHeight="true" outlineLevel="0" collapsed="false">
      <c r="A6" s="5" t="n">
        <v>2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31</v>
      </c>
    </row>
    <row r="7" customFormat="false" ht="87.75" hidden="false" customHeight="true" outlineLevel="0" collapsed="false">
      <c r="A7" s="5" t="n">
        <v>3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8"/>
    <col collapsed="false" customWidth="true" hidden="false" outlineLevel="0" max="3" min="3" style="0" width="26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37</v>
      </c>
    </row>
    <row r="4" customFormat="false" ht="1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41</v>
      </c>
    </row>
    <row r="5" customFormat="false" ht="39.75" hidden="false" customHeight="true" outlineLevel="0" collapsed="false">
      <c r="A5" s="5" t="s">
        <v>42</v>
      </c>
      <c r="B5" s="5" t="s">
        <v>43</v>
      </c>
      <c r="C5" s="5" t="s">
        <v>44</v>
      </c>
      <c r="D5" s="5" t="s">
        <v>45</v>
      </c>
    </row>
    <row r="6" customFormat="false" ht="39.75" hidden="false" customHeight="true" outlineLevel="0" collapsed="false">
      <c r="A6" s="5" t="s">
        <v>46</v>
      </c>
      <c r="B6" s="5" t="s">
        <v>47</v>
      </c>
      <c r="C6" s="5" t="s">
        <v>48</v>
      </c>
      <c r="D6" s="5" t="s">
        <v>49</v>
      </c>
    </row>
    <row r="7" customFormat="false" ht="39.75" hidden="false" customHeight="true" outlineLevel="0" collapsed="false">
      <c r="A7" s="5" t="s">
        <v>50</v>
      </c>
      <c r="B7" s="5" t="s">
        <v>51</v>
      </c>
      <c r="C7" s="5" t="s">
        <v>52</v>
      </c>
      <c r="D7" s="5" t="s">
        <v>53</v>
      </c>
    </row>
    <row r="8" customFormat="false" ht="39.75" hidden="false" customHeight="true" outlineLevel="0" collapsed="false">
      <c r="A8" s="5" t="s">
        <v>50</v>
      </c>
      <c r="B8" s="5" t="s">
        <v>54</v>
      </c>
      <c r="C8" s="5" t="s">
        <v>55</v>
      </c>
      <c r="D8" s="5" t="s">
        <v>56</v>
      </c>
    </row>
    <row r="9" customFormat="false" ht="39.75" hidden="false" customHeight="true" outlineLevel="0" collapsed="false">
      <c r="A9" s="5" t="s">
        <v>57</v>
      </c>
      <c r="B9" s="5" t="s">
        <v>58</v>
      </c>
      <c r="C9" s="5" t="s">
        <v>59</v>
      </c>
      <c r="D9" s="5" t="s">
        <v>60</v>
      </c>
    </row>
    <row r="10" customFormat="false" ht="39.75" hidden="false" customHeight="true" outlineLevel="0" collapsed="false">
      <c r="A10" s="5" t="s">
        <v>61</v>
      </c>
      <c r="B10" s="5" t="s">
        <v>62</v>
      </c>
      <c r="C10" s="5" t="s">
        <v>63</v>
      </c>
      <c r="D10" s="5" t="s">
        <v>64</v>
      </c>
    </row>
    <row r="11" customFormat="false" ht="39.75" hidden="false" customHeight="true" outlineLevel="0" collapsed="false">
      <c r="A11" s="5" t="s">
        <v>61</v>
      </c>
      <c r="B11" s="5" t="s">
        <v>65</v>
      </c>
      <c r="C11" s="5" t="s">
        <v>66</v>
      </c>
      <c r="D11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23.85" hidden="false" customHeight="false" outlineLevel="0" collapsed="false">
      <c r="A4" s="3" t="s">
        <v>70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75</v>
      </c>
    </row>
    <row r="5" customFormat="false" ht="15" hidden="false" customHeight="false" outlineLevel="0" collapsed="false">
      <c r="A5" s="5" t="n">
        <v>3</v>
      </c>
      <c r="B5" s="5" t="s">
        <v>76</v>
      </c>
      <c r="C5" s="5" t="n">
        <v>6</v>
      </c>
      <c r="D5" s="5" t="n">
        <v>6</v>
      </c>
      <c r="E5" s="5" t="n">
        <f aca="false">C5-D5</f>
        <v>0</v>
      </c>
      <c r="F5" s="5" t="str">
        <f aca="false">IF(C5=D5,"clean","DUPLICATES")</f>
        <v>clean</v>
      </c>
    </row>
    <row r="6" customFormat="false" ht="15" hidden="false" customHeight="false" outlineLevel="0" collapsed="false">
      <c r="A6" s="5" t="n">
        <v>5</v>
      </c>
      <c r="B6" s="5" t="s">
        <v>77</v>
      </c>
      <c r="C6" s="5" t="n">
        <v>4</v>
      </c>
      <c r="D6" s="5" t="n">
        <v>4</v>
      </c>
      <c r="E6" s="5" t="n">
        <f aca="false">C6-D6</f>
        <v>0</v>
      </c>
      <c r="F6" s="5" t="str">
        <f aca="false">IF(C6=D6,"clean","DUPLICATES")</f>
        <v>clean</v>
      </c>
    </row>
    <row r="7" customFormat="false" ht="15" hidden="false" customHeight="false" outlineLevel="0" collapsed="false">
      <c r="A7" s="5" t="n">
        <v>7</v>
      </c>
      <c r="B7" s="5" t="s">
        <v>78</v>
      </c>
      <c r="C7" s="5" t="n">
        <v>4</v>
      </c>
      <c r="D7" s="5" t="n">
        <v>4</v>
      </c>
      <c r="E7" s="5" t="n">
        <f aca="false">C7-D7</f>
        <v>0</v>
      </c>
      <c r="F7" s="5" t="str">
        <f aca="false">IF(C7=D7,"clean","DUPLICATES")</f>
        <v>clean</v>
      </c>
    </row>
    <row r="8" customFormat="false" ht="15" hidden="false" customHeight="false" outlineLevel="0" collapsed="false">
      <c r="A8" s="5" t="n">
        <v>8</v>
      </c>
      <c r="B8" s="5" t="s">
        <v>79</v>
      </c>
      <c r="C8" s="5" t="n">
        <v>4</v>
      </c>
      <c r="D8" s="5" t="n">
        <v>4</v>
      </c>
      <c r="E8" s="5" t="n">
        <f aca="false">C8-D8</f>
        <v>0</v>
      </c>
      <c r="F8" s="5" t="str">
        <f aca="false">IF(C8=D8,"clean","DUPLICATES")</f>
        <v>clean</v>
      </c>
    </row>
    <row r="9" customFormat="false" ht="15" hidden="false" customHeight="false" outlineLevel="0" collapsed="false">
      <c r="A9" s="5" t="n">
        <v>9</v>
      </c>
      <c r="B9" s="5" t="s">
        <v>80</v>
      </c>
      <c r="C9" s="5" t="n">
        <v>4</v>
      </c>
      <c r="D9" s="5" t="n">
        <v>4</v>
      </c>
      <c r="E9" s="5" t="n">
        <f aca="false">C9-D9</f>
        <v>0</v>
      </c>
      <c r="F9" s="5" t="str">
        <f aca="false">IF(C9=D9,"clean","DUPLICATES")</f>
        <v>clean</v>
      </c>
    </row>
    <row r="10" customFormat="false" ht="15" hidden="false" customHeight="false" outlineLevel="0" collapsed="false">
      <c r="A10" s="5" t="n">
        <v>10</v>
      </c>
      <c r="B10" s="5" t="s">
        <v>81</v>
      </c>
      <c r="C10" s="5" t="n">
        <v>7</v>
      </c>
      <c r="D10" s="5" t="n">
        <v>7</v>
      </c>
      <c r="E10" s="5" t="n">
        <f aca="false">C10-D10</f>
        <v>0</v>
      </c>
      <c r="F10" s="5" t="str">
        <f aca="false">IF(C10=D10,"clean","DUPLICATES")</f>
        <v>clean</v>
      </c>
    </row>
    <row r="11" customFormat="false" ht="15" hidden="false" customHeight="false" outlineLevel="0" collapsed="false">
      <c r="A11" s="5" t="n">
        <v>11</v>
      </c>
      <c r="B11" s="5" t="s">
        <v>82</v>
      </c>
      <c r="C11" s="5" t="n">
        <v>5</v>
      </c>
      <c r="D11" s="5" t="n">
        <v>5</v>
      </c>
      <c r="E11" s="5" t="n">
        <f aca="false">C11-D11</f>
        <v>0</v>
      </c>
      <c r="F11" s="5" t="str">
        <f aca="false">IF(C11=D11,"clean","DUPLICATES")</f>
        <v>clean</v>
      </c>
    </row>
    <row r="12" customFormat="false" ht="15" hidden="false" customHeight="false" outlineLevel="0" collapsed="false">
      <c r="A12" s="5" t="n">
        <v>12</v>
      </c>
      <c r="B12" s="5" t="s">
        <v>83</v>
      </c>
      <c r="C12" s="5" t="n">
        <v>2</v>
      </c>
      <c r="D12" s="5" t="n">
        <v>2</v>
      </c>
      <c r="E12" s="5" t="n">
        <f aca="false">C12-D12</f>
        <v>0</v>
      </c>
      <c r="F12" s="5" t="str">
        <f aca="false">IF(C12=D12,"clean","DUPLICATES")</f>
        <v>clean</v>
      </c>
    </row>
    <row r="13" customFormat="false" ht="15" hidden="false" customHeight="false" outlineLevel="0" collapsed="false">
      <c r="A13" s="5" t="n">
        <v>13</v>
      </c>
      <c r="B13" s="5" t="s">
        <v>84</v>
      </c>
      <c r="C13" s="5" t="n">
        <v>2</v>
      </c>
      <c r="D13" s="5" t="n">
        <v>2</v>
      </c>
      <c r="E13" s="5" t="n">
        <f aca="false">C13-D13</f>
        <v>0</v>
      </c>
      <c r="F13" s="5" t="str">
        <f aca="false">IF(C13=D13,"clean","DUPLICATES")</f>
        <v>clean</v>
      </c>
    </row>
    <row r="14" customFormat="false" ht="15" hidden="false" customHeight="false" outlineLevel="0" collapsed="false">
      <c r="A14" s="5" t="n">
        <v>14</v>
      </c>
      <c r="B14" s="5" t="s">
        <v>85</v>
      </c>
      <c r="C14" s="5" t="n">
        <v>49</v>
      </c>
      <c r="D14" s="5" t="n">
        <v>49</v>
      </c>
      <c r="E14" s="5" t="n">
        <f aca="false">C14-D14</f>
        <v>0</v>
      </c>
      <c r="F14" s="5" t="str">
        <f aca="false">IF(C14=D14,"clean","DUPLICATES")</f>
        <v>clean</v>
      </c>
    </row>
    <row r="15" customFormat="false" ht="15" hidden="false" customHeight="false" outlineLevel="0" collapsed="false">
      <c r="A15" s="5" t="n">
        <v>17</v>
      </c>
      <c r="B15" s="5" t="s">
        <v>86</v>
      </c>
      <c r="C15" s="5" t="n">
        <v>446</v>
      </c>
      <c r="D15" s="5" t="n">
        <v>446</v>
      </c>
      <c r="E15" s="5" t="n">
        <f aca="false">C15-D15</f>
        <v>0</v>
      </c>
      <c r="F15" s="5" t="str">
        <f aca="false">IF(C15=D15,"clean","DUPLICATES")</f>
        <v>clean</v>
      </c>
    </row>
    <row r="16" customFormat="false" ht="15" hidden="false" customHeight="false" outlineLevel="0" collapsed="false">
      <c r="A16" s="5" t="n">
        <v>18</v>
      </c>
      <c r="B16" s="5" t="s">
        <v>87</v>
      </c>
      <c r="C16" s="5" t="n">
        <v>364</v>
      </c>
      <c r="D16" s="5" t="n">
        <v>364</v>
      </c>
      <c r="E16" s="5" t="n">
        <f aca="false">C16-D16</f>
        <v>0</v>
      </c>
      <c r="F16" s="5" t="str">
        <f aca="false">IF(C16=D16,"clean","DUPLICATES")</f>
        <v>clean</v>
      </c>
    </row>
    <row r="17" customFormat="false" ht="15" hidden="false" customHeight="false" outlineLevel="0" collapsed="false">
      <c r="A17" s="5" t="n">
        <v>19</v>
      </c>
      <c r="B17" s="5" t="s">
        <v>88</v>
      </c>
      <c r="C17" s="5" t="n">
        <v>311</v>
      </c>
      <c r="D17" s="5" t="n">
        <v>311</v>
      </c>
      <c r="E17" s="5" t="n">
        <f aca="false">C17-D17</f>
        <v>0</v>
      </c>
      <c r="F17" s="5" t="str">
        <f aca="false">IF(C17=D17,"clean","DUPLICATES")</f>
        <v>clean</v>
      </c>
    </row>
    <row r="18" customFormat="false" ht="15" hidden="false" customHeight="false" outlineLevel="0" collapsed="false">
      <c r="A18" s="5" t="n">
        <v>20</v>
      </c>
      <c r="B18" s="5" t="s">
        <v>89</v>
      </c>
      <c r="C18" s="5" t="n">
        <v>308</v>
      </c>
      <c r="D18" s="5" t="n">
        <v>308</v>
      </c>
      <c r="E18" s="5" t="n">
        <f aca="false">C18-D18</f>
        <v>0</v>
      </c>
      <c r="F18" s="5" t="str">
        <f aca="false">IF(C18=D18,"clean","DUPLICATES")</f>
        <v>clean</v>
      </c>
    </row>
    <row r="19" customFormat="false" ht="15" hidden="false" customHeight="false" outlineLevel="0" collapsed="false">
      <c r="A19" s="5" t="n">
        <v>21</v>
      </c>
      <c r="B19" s="5" t="s">
        <v>90</v>
      </c>
      <c r="C19" s="5" t="n">
        <v>217</v>
      </c>
      <c r="D19" s="5" t="n">
        <v>217</v>
      </c>
      <c r="E19" s="5" t="n">
        <f aca="false">C19-D19</f>
        <v>0</v>
      </c>
      <c r="F19" s="5" t="str">
        <f aca="false">IF(C19=D19,"clean","DUPLICATES")</f>
        <v>clean</v>
      </c>
    </row>
    <row r="20" customFormat="false" ht="15" hidden="false" customHeight="false" outlineLevel="0" collapsed="false">
      <c r="A20" s="5" t="n">
        <v>22</v>
      </c>
      <c r="B20" s="5" t="s">
        <v>91</v>
      </c>
      <c r="C20" s="5" t="n">
        <v>195</v>
      </c>
      <c r="D20" s="5" t="n">
        <v>195</v>
      </c>
      <c r="E20" s="5" t="n">
        <f aca="false">C20-D20</f>
        <v>0</v>
      </c>
      <c r="F20" s="5" t="str">
        <f aca="false">IF(C20=D20,"clean","DUPLICATES")</f>
        <v>clean</v>
      </c>
    </row>
    <row r="21" customFormat="false" ht="15" hidden="false" customHeight="false" outlineLevel="0" collapsed="false">
      <c r="A21" s="5" t="n">
        <v>23</v>
      </c>
      <c r="B21" s="5" t="s">
        <v>92</v>
      </c>
      <c r="C21" s="5" t="n">
        <v>194</v>
      </c>
      <c r="D21" s="5" t="n">
        <v>194</v>
      </c>
      <c r="E21" s="5" t="n">
        <f aca="false">C21-D21</f>
        <v>0</v>
      </c>
      <c r="F21" s="5" t="str">
        <f aca="false">IF(C21=D21,"clean","DUPLICATES")</f>
        <v>clean</v>
      </c>
    </row>
    <row r="22" customFormat="false" ht="15" hidden="false" customHeight="false" outlineLevel="0" collapsed="false">
      <c r="A22" s="5" t="n">
        <v>24</v>
      </c>
      <c r="B22" s="5" t="s">
        <v>93</v>
      </c>
      <c r="C22" s="5" t="n">
        <v>126</v>
      </c>
      <c r="D22" s="5" t="n">
        <v>126</v>
      </c>
      <c r="E22" s="5" t="n">
        <f aca="false">C22-D22</f>
        <v>0</v>
      </c>
      <c r="F22" s="5" t="str">
        <f aca="false">IF(C22=D22,"clean","DUPLICATES")</f>
        <v>clean</v>
      </c>
    </row>
    <row r="23" customFormat="false" ht="15" hidden="false" customHeight="false" outlineLevel="0" collapsed="false">
      <c r="A23" s="5" t="n">
        <v>25</v>
      </c>
      <c r="B23" s="5" t="s">
        <v>94</v>
      </c>
      <c r="C23" s="5" t="n">
        <v>23</v>
      </c>
      <c r="D23" s="5" t="n">
        <v>23</v>
      </c>
      <c r="E23" s="5" t="n">
        <f aca="false">C23-D23</f>
        <v>0</v>
      </c>
      <c r="F23" s="5" t="str">
        <f aca="false">IF(C23=D23,"clean","DUPLICATES")</f>
        <v>clean</v>
      </c>
    </row>
    <row r="24" customFormat="false" ht="15" hidden="false" customHeight="false" outlineLevel="0" collapsed="false">
      <c r="A24" s="4"/>
      <c r="B24" s="4" t="s">
        <v>95</v>
      </c>
      <c r="C24" s="4" t="n">
        <f aca="false">SUM(C5:C23)</f>
        <v>2271</v>
      </c>
      <c r="D24" s="4" t="n">
        <f aca="false">SUM(D5:D23)</f>
        <v>2271</v>
      </c>
      <c r="E24" s="4" t="n">
        <f aca="false">SUM(E5:E23)</f>
        <v>0</v>
      </c>
      <c r="F24" s="4"/>
    </row>
    <row r="26" customFormat="false" ht="15" hidden="false" customHeight="true" outlineLevel="0" collapsed="false">
      <c r="A26" s="6" t="s">
        <v>96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</row>
  </sheetData>
  <mergeCells count="1">
    <mergeCell ref="A26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97</v>
      </c>
    </row>
    <row r="3" customFormat="false" ht="15" hidden="false" customHeight="false" outlineLevel="0" collapsed="false">
      <c r="A3" s="3" t="s">
        <v>98</v>
      </c>
      <c r="B3" s="3" t="s">
        <v>3</v>
      </c>
    </row>
    <row r="4" customFormat="false" ht="61.5" hidden="false" customHeight="true" outlineLevel="0" collapsed="false">
      <c r="A4" s="4" t="s">
        <v>99</v>
      </c>
      <c r="B4" s="5" t="s">
        <v>100</v>
      </c>
    </row>
    <row r="5" customFormat="false" ht="61.5" hidden="false" customHeight="true" outlineLevel="0" collapsed="false">
      <c r="A5" s="4" t="s">
        <v>101</v>
      </c>
      <c r="B5" s="5" t="s">
        <v>102</v>
      </c>
    </row>
    <row r="6" customFormat="false" ht="61.5" hidden="false" customHeight="true" outlineLevel="0" collapsed="false">
      <c r="A6" s="4" t="s">
        <v>103</v>
      </c>
      <c r="B6" s="5" t="s">
        <v>104</v>
      </c>
    </row>
    <row r="7" customFormat="false" ht="61.5" hidden="false" customHeight="true" outlineLevel="0" collapsed="false">
      <c r="A7" s="4" t="s">
        <v>105</v>
      </c>
      <c r="B7" s="5" t="s">
        <v>106</v>
      </c>
    </row>
    <row r="8" customFormat="false" ht="61.5" hidden="false" customHeight="true" outlineLevel="0" collapsed="false">
      <c r="A8" s="4" t="s">
        <v>107</v>
      </c>
      <c r="B8" s="5" t="s">
        <v>108</v>
      </c>
    </row>
    <row r="9" customFormat="false" ht="61.5" hidden="false" customHeight="true" outlineLevel="0" collapsed="false">
      <c r="A9" s="4" t="s">
        <v>109</v>
      </c>
      <c r="B9" s="5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8"/>
  </cols>
  <sheetData>
    <row r="1" customFormat="false" ht="17.3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3" t="s">
        <v>112</v>
      </c>
      <c r="B3" s="3" t="s">
        <v>113</v>
      </c>
    </row>
    <row r="4" customFormat="false" ht="73.5" hidden="false" customHeight="true" outlineLevel="0" collapsed="false">
      <c r="A4" s="4" t="s">
        <v>114</v>
      </c>
      <c r="B4" s="7" t="s">
        <v>115</v>
      </c>
    </row>
    <row r="5" customFormat="false" ht="73.5" hidden="false" customHeight="true" outlineLevel="0" collapsed="false">
      <c r="A5" s="4" t="s">
        <v>116</v>
      </c>
      <c r="B5" s="7" t="s">
        <v>117</v>
      </c>
    </row>
    <row r="6" customFormat="false" ht="73.5" hidden="false" customHeight="true" outlineLevel="0" collapsed="false">
      <c r="A6" s="4" t="s">
        <v>118</v>
      </c>
      <c r="B6" s="7" t="s">
        <v>119</v>
      </c>
    </row>
    <row r="7" customFormat="false" ht="73.5" hidden="false" customHeight="true" outlineLevel="0" collapsed="false">
      <c r="A7" s="4" t="s">
        <v>120</v>
      </c>
      <c r="B7" s="7" t="s">
        <v>121</v>
      </c>
    </row>
    <row r="8" customFormat="false" ht="73.5" hidden="false" customHeight="true" outlineLevel="0" collapsed="false">
      <c r="A8" s="4" t="s">
        <v>122</v>
      </c>
      <c r="B8" s="7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2026-08-18T06:57:08Z</dcterms:created>
  <dc:creator>openpyxl</dc:creator>
  <dc:description/>
  <dc:language>en-US</dc:language>
  <cp:lastModifiedBy/>
  <dcterms:modified xsi:type="dcterms:W3CDTF">2026-08-18T06:57:08Z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